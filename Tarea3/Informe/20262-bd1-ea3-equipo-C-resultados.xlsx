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Inventario Modelo Lógico (corre" sheetId="2" r:id="rId5"/>
    <sheet state="visible" name="Tipos de Dato" sheetId="3" r:id="rId6"/>
    <sheet state="visible" name="DICCIONARIO DATOS (Físico)" sheetId="4" r:id="rId7"/>
  </sheets>
  <definedNames/>
  <calcPr/>
  <extLst>
    <ext uri="GoogleSheetsCustomDataVersion2">
      <go:sheetsCustomData xmlns:go="http://customooxmlschemas.google.com/" r:id="rId8" roundtripDataChecksum="HWAA3zHp2ekjoEGBsATZf2zqLLpiy11zvwBA9LUeaog="/>
    </ext>
  </extLst>
</workbook>
</file>

<file path=xl/sharedStrings.xml><?xml version="1.0" encoding="utf-8"?>
<sst xmlns="http://schemas.openxmlformats.org/spreadsheetml/2006/main" count="1007" uniqueCount="310">
  <si>
    <t>Tablas resultantes del Diccionario Genérico (Modelo Lógico)</t>
  </si>
  <si>
    <t>#</t>
  </si>
  <si>
    <t>Tabla</t>
  </si>
  <si>
    <t>Descripción Tabla</t>
  </si>
  <si>
    <t>Observaciones</t>
  </si>
  <si>
    <t>usuario</t>
  </si>
  <si>
    <t>datos del usuario dentro de la red social</t>
  </si>
  <si>
    <t>rol</t>
  </si>
  <si>
    <t>rol del usuario dentro de la red social</t>
  </si>
  <si>
    <t>tipo_usuario</t>
  </si>
  <si>
    <t>el tipo de puesto que tiene dentro de la institucion o en la red social</t>
  </si>
  <si>
    <t>perfil</t>
  </si>
  <si>
    <t>descripción del usuario</t>
  </si>
  <si>
    <t>publicacion</t>
  </si>
  <si>
    <t>difusión informativa sobre temas de interés universitarios</t>
  </si>
  <si>
    <t>comentario</t>
  </si>
  <si>
    <t>opinión de los integrantes de la red pascualina</t>
  </si>
  <si>
    <t>grupo</t>
  </si>
  <si>
    <t>interaccion de un grupo</t>
  </si>
  <si>
    <t>tipo_servicio</t>
  </si>
  <si>
    <t>tipos de asistencias que se brindan a los usuarios</t>
  </si>
  <si>
    <t>servicio</t>
  </si>
  <si>
    <t>asistencia en la necesidad que puedan tener los usuarios</t>
  </si>
  <si>
    <t>tipo_producto</t>
  </si>
  <si>
    <t>interaccion de un tipo de producto</t>
  </si>
  <si>
    <t>producto</t>
  </si>
  <si>
    <t>artículos disponibles en la plataforma</t>
  </si>
  <si>
    <t>tipo_evento</t>
  </si>
  <si>
    <t>interaccion de un tipo de evento</t>
  </si>
  <si>
    <t>evento</t>
  </si>
  <si>
    <t>organización de grandes reuniones que incitan el aprendizaje</t>
  </si>
  <si>
    <t>venta</t>
  </si>
  <si>
    <t>transacción entre el usuario y un vendedor a través de la red social pascualina</t>
  </si>
  <si>
    <t>publicidad</t>
  </si>
  <si>
    <t>apartado que promociona un evento, servicios y demás</t>
  </si>
  <si>
    <t>reaccion</t>
  </si>
  <si>
    <t>muestra de que el comentario o la publicación fue recibida de buena o mala manera por los usuarios</t>
  </si>
  <si>
    <t>notificacion</t>
  </si>
  <si>
    <t xml:space="preserve">aviso sobre algun mensaje de la red social pascualina </t>
  </si>
  <si>
    <t>mensaje</t>
  </si>
  <si>
    <t>interacción privada entre los usuarios a través de la red social</t>
  </si>
  <si>
    <t>solicitud_servicio</t>
  </si>
  <si>
    <t>interaccion de un usuario de un tipo de servicio</t>
  </si>
  <si>
    <t>miembro_grupo</t>
  </si>
  <si>
    <t>interaccion de un usuario a un grupo</t>
  </si>
  <si>
    <t>inscripcion_evento</t>
  </si>
  <si>
    <t>interaccion de un usuario a un evento</t>
  </si>
  <si>
    <t>reaccion_comentario</t>
  </si>
  <si>
    <t>Cantidad de reacciones que recibe un comentario</t>
  </si>
  <si>
    <t>tipo_usuario_usuario</t>
  </si>
  <si>
    <t>nace de la relacion usuario a un tipo de usuario</t>
  </si>
  <si>
    <t>publicidad_reaccion</t>
  </si>
  <si>
    <t>nace de la relacion publicidad y reaccion</t>
  </si>
  <si>
    <t>Tipos de Datos - Tabla Comparativa</t>
  </si>
  <si>
    <t>Tipo de Dato Genérico</t>
  </si>
  <si>
    <t>Tipos de Dato - PosgreSQL</t>
  </si>
  <si>
    <t>Dominio</t>
  </si>
  <si>
    <t>BYTES</t>
  </si>
  <si>
    <t>AUTOINCREMENTABLE</t>
  </si>
  <si>
    <t>serial</t>
  </si>
  <si>
    <t>Según el tipo numérico (TINYINT a BIGINT)</t>
  </si>
  <si>
    <t>4 bytes</t>
  </si>
  <si>
    <t>Autoincremental de 32 bits (hasta 2.147M). Es la clave primaria estándar.</t>
  </si>
  <si>
    <t>bigserial</t>
  </si>
  <si>
    <t>Cadenas de 128 bits / 32 dígitos hex en formato 8-4-4-4-12</t>
  </si>
  <si>
    <t>8 bytes</t>
  </si>
  <si>
    <t>Contador automático para tablas gigantescas (millones de registros diarios).</t>
  </si>
  <si>
    <t>UUID</t>
  </si>
  <si>
    <t>-2,147,483,648 a 2,147,483,647</t>
  </si>
  <si>
    <t>16 bytes</t>
  </si>
  <si>
    <t>ENTERO</t>
  </si>
  <si>
    <t>Integer/int</t>
  </si>
  <si>
    <t>Hasta 131,072 dígitos antes del decimal y 16,383 después</t>
  </si>
  <si>
    <t>DECIMAL</t>
  </si>
  <si>
    <t>numeric</t>
  </si>
  <si>
    <t>true, false, null</t>
  </si>
  <si>
    <t>variable</t>
  </si>
  <si>
    <t>LÓGICO</t>
  </si>
  <si>
    <t>boolean</t>
  </si>
  <si>
    <t>Cadena de texto de longitud ilimitada (hasta 1 GB)</t>
  </si>
  <si>
    <t>1 byte</t>
  </si>
  <si>
    <t>TEXTO</t>
  </si>
  <si>
    <t>text</t>
  </si>
  <si>
    <t>1 carácter</t>
  </si>
  <si>
    <t>CARACTER</t>
  </si>
  <si>
    <t>char</t>
  </si>
  <si>
    <t>4713 a.C. a 5874897 d.C. (YYYY-MM-DD)</t>
  </si>
  <si>
    <t>char(n)</t>
  </si>
  <si>
    <t>4713 a.C. a 294276 d.C.</t>
  </si>
  <si>
    <t>Fijo(n)</t>
  </si>
  <si>
    <t>Longitud fija. Si ingresas menos caracteres que n, completa con espacios.</t>
  </si>
  <si>
    <t>FECHA</t>
  </si>
  <si>
    <t>date</t>
  </si>
  <si>
    <t>00:00:00 a 24:00:00</t>
  </si>
  <si>
    <t>FECHA_HORA</t>
  </si>
  <si>
    <t>timestamp</t>
  </si>
  <si>
    <t>Cadena de texto variable (hasta 1 GB)</t>
  </si>
  <si>
    <t>En proyectos reales suele preferirse timestamptz para manejar zonas horarias.</t>
  </si>
  <si>
    <t>IMAGEN</t>
  </si>
  <si>
    <t>bytea</t>
  </si>
  <si>
    <t>Lista estática de elementos definidos por el usuario</t>
  </si>
  <si>
    <t>AUDIO</t>
  </si>
  <si>
    <t>Cadena de texto variable (hasta 1 GB o limitado por n)</t>
  </si>
  <si>
    <t>URL</t>
  </si>
  <si>
    <t>varchar/text</t>
  </si>
  <si>
    <t>Datos binarios de longitud variable (hasta 1 GB)</t>
  </si>
  <si>
    <t>ENUM</t>
  </si>
  <si>
    <t>enum</t>
  </si>
  <si>
    <t>Documento con sintaxis JSON válida</t>
  </si>
  <si>
    <t>TEXTO_CORTO (opcional)</t>
  </si>
  <si>
    <t>varchar</t>
  </si>
  <si>
    <t>Documento JSON válido descompuesto (binario optimizado)</t>
  </si>
  <si>
    <t>BINARIO (opcional)</t>
  </si>
  <si>
    <t>Datos binarios de imágenes (hasta 1 GB)</t>
  </si>
  <si>
    <t>JSON</t>
  </si>
  <si>
    <t>json/jsonb</t>
  </si>
  <si>
    <t>Datos binarios de audio (hasta 1 GB)</t>
  </si>
  <si>
    <t>Conviene usar siempre jsonb: se guarda en binario y permite indexar/buscar datos mucho más rápido.</t>
  </si>
  <si>
    <t>DICCIONARIO DE DATOS FÍSICO (PostgreSQL18)</t>
  </si>
  <si>
    <t>Inventario de Tablas</t>
  </si>
  <si>
    <t xml:space="preserve">
perfil</t>
  </si>
  <si>
    <t>cantidad de reacciones que recibe un comentario</t>
  </si>
  <si>
    <t>Tablas en Detalle</t>
  </si>
  <si>
    <t>Versión</t>
  </si>
  <si>
    <t>Campo</t>
  </si>
  <si>
    <t>Descripción Campo</t>
  </si>
  <si>
    <t>Tipo Dato
(Postgresql)</t>
  </si>
  <si>
    <t>Tamaño / Longitud</t>
  </si>
  <si>
    <t>Nulo</t>
  </si>
  <si>
    <t>PK</t>
  </si>
  <si>
    <t>FK</t>
  </si>
  <si>
    <t>UK</t>
  </si>
  <si>
    <t>Nota/Comentarios</t>
  </si>
  <si>
    <t>id_cedula</t>
  </si>
  <si>
    <t>documento con el que se puede identificar al usuario</t>
  </si>
  <si>
    <t>integer</t>
  </si>
  <si>
    <t>No</t>
  </si>
  <si>
    <t>S</t>
  </si>
  <si>
    <t>p_nombre</t>
  </si>
  <si>
    <t>primer nombre del usuario</t>
  </si>
  <si>
    <t>s_nombre</t>
  </si>
  <si>
    <t>segundo nombre del usuario</t>
  </si>
  <si>
    <t>Si</t>
  </si>
  <si>
    <t>p_apellido</t>
  </si>
  <si>
    <t>primer apellido del usuario</t>
  </si>
  <si>
    <t>s_apellido</t>
  </si>
  <si>
    <t>segundo apellido del usuario</t>
  </si>
  <si>
    <t>direccion</t>
  </si>
  <si>
    <t>lugar de residencia del usuario</t>
  </si>
  <si>
    <t>correo</t>
  </si>
  <si>
    <t>método de contacto para la comunicación y recibimiento de informacion y envio de informacion</t>
  </si>
  <si>
    <t>clave</t>
  </si>
  <si>
    <t>números y caracteres que delimitan y protegen el acceso a una cuenta</t>
  </si>
  <si>
    <t>nombre_usuario</t>
  </si>
  <si>
    <t>nombre que verán los demás usuarios de la red social pascualina</t>
  </si>
  <si>
    <t>id_rol</t>
  </si>
  <si>
    <t>identificación por número a cada uno de los roles</t>
  </si>
  <si>
    <t xml:space="preserve">integer			</t>
  </si>
  <si>
    <t>Tipo Dato
(PostgreSQL)</t>
  </si>
  <si>
    <t>nombre_rol</t>
  </si>
  <si>
    <t>nombre de los roles de la base de datos</t>
  </si>
  <si>
    <t>id_tipo_usuario</t>
  </si>
  <si>
    <t>Identificación por número a cada uno de los tipos de usuario que puede haber</t>
  </si>
  <si>
    <t>Autoincrementable — el sistema genera el valor automáticamente</t>
  </si>
  <si>
    <t>n_tipo_usuario</t>
  </si>
  <si>
    <t>nombre identificatorio de los tipos de usuario que cumple dentro de la institución universitaria, ya sea profesor estudiante egresado o empleado etc.</t>
  </si>
  <si>
    <t>identificación por número a cada uno de los perfiles de la red social</t>
  </si>
  <si>
    <t>area_estudio</t>
  </si>
  <si>
    <t>área de especialización y enfoque del usuario</t>
  </si>
  <si>
    <t>descripcion_perfil</t>
  </si>
  <si>
    <t>preferencias del usuario dirigidas a lo que le gusta</t>
  </si>
  <si>
    <t xml:space="preserve">difusión informativa sobre temas de interés universitarios												</t>
  </si>
  <si>
    <t>id_publicacion</t>
  </si>
  <si>
    <t>identificación por número de la publicación</t>
  </si>
  <si>
    <t>categoria_publicacion</t>
  </si>
  <si>
    <t>categoría y etiqueta de clasificación de la publicación</t>
  </si>
  <si>
    <t>contenido_publicacion</t>
  </si>
  <si>
    <t>información de la publicación, puede ser en texto, imágenes, documentos, etc</t>
  </si>
  <si>
    <t>fecha_publicacion</t>
  </si>
  <si>
    <t>fecha y hora de creación de la publicación</t>
  </si>
  <si>
    <t>id_comentario</t>
  </si>
  <si>
    <t>identificación por número del comentario</t>
  </si>
  <si>
    <t>contenido_comentario</t>
  </si>
  <si>
    <t>opinión del usuario, pueden ser en diferentes formarlos como texto, imágenes, documentos, etc</t>
  </si>
  <si>
    <t>fecha_comentario</t>
  </si>
  <si>
    <t>comentario_creador</t>
  </si>
  <si>
    <t>comentario hecho por el creador de la publicación el cual tiene prioridad de visibilidad</t>
  </si>
  <si>
    <t>comentario_ordinario</t>
  </si>
  <si>
    <t>opiniones realizadas por usuarios acerca de una publicación</t>
  </si>
  <si>
    <t>id_publicidad</t>
  </si>
  <si>
    <t>identificación por número de la publicidad</t>
  </si>
  <si>
    <t>id_grupo</t>
  </si>
  <si>
    <t>Identificación por número del grupo</t>
  </si>
  <si>
    <t>nombre_grupo</t>
  </si>
  <si>
    <t>identificación de los nombres de los grupos</t>
  </si>
  <si>
    <t>descripcion_grupo</t>
  </si>
  <si>
    <t>breve información de lo que trata el grupo</t>
  </si>
  <si>
    <t>categoria_grupo</t>
  </si>
  <si>
    <t>tipo de grupo que se forma</t>
  </si>
  <si>
    <t>id_tipo_servicio</t>
  </si>
  <si>
    <t>Identificación por número de cada parte del tipo de servicio</t>
  </si>
  <si>
    <t>n_tipo_servicio</t>
  </si>
  <si>
    <t>Ayuda y orientación dirigido a la mejora académica del usuario</t>
  </si>
  <si>
    <t>identificación por número de cada parte del tipo de servicio</t>
  </si>
  <si>
    <t>personas encargadas de proporcionar estos servicios</t>
  </si>
  <si>
    <t>id_servicio</t>
  </si>
  <si>
    <t>identificador de el servicio que se van a realizar o se realizaron</t>
  </si>
  <si>
    <t>id_tipo_producto</t>
  </si>
  <si>
    <t>identificación por número de cada parte de los tipos de productos</t>
  </si>
  <si>
    <t>n_tipo_producto</t>
  </si>
  <si>
    <t>clasificación por nombre de los tipos de productos existentes o disponibles ya sea ropa etc…</t>
  </si>
  <si>
    <t xml:space="preserve"> artículos disponibles en la plataforma                                                                                                                                        </t>
  </si>
  <si>
    <t>nombre_producto</t>
  </si>
  <si>
    <t>identificación por nombre del producto</t>
  </si>
  <si>
    <t>precio_producto</t>
  </si>
  <si>
    <t>identificación del valor del producto</t>
  </si>
  <si>
    <t>identificación del tipo del producto</t>
  </si>
  <si>
    <t>id_producto</t>
  </si>
  <si>
    <t>identificación del producto</t>
  </si>
  <si>
    <t>id_tipo_evento</t>
  </si>
  <si>
    <t>identificación por número de cada parte de los tipos de eventos</t>
  </si>
  <si>
    <t>n_tipo_evento</t>
  </si>
  <si>
    <t>espacio para el congreso</t>
  </si>
  <si>
    <t>nombre_evento</t>
  </si>
  <si>
    <t>nombre destinado que se le da a cada uno de los eventos</t>
  </si>
  <si>
    <t>fecha_evento</t>
  </si>
  <si>
    <t>dia en el cual se realizará el evento</t>
  </si>
  <si>
    <t>hora_evento</t>
  </si>
  <si>
    <t>hora que da comienzo al evento</t>
  </si>
  <si>
    <t>lugar_evento</t>
  </si>
  <si>
    <t>sitio en el cual se realizará el evento</t>
  </si>
  <si>
    <t>persona que crea el evento</t>
  </si>
  <si>
    <t>id_evento</t>
  </si>
  <si>
    <t>identificador para permitir varios servicios</t>
  </si>
  <si>
    <t xml:space="preserve">transacción entre el usuario y un vendedor a través de la red social pascualina																	</t>
  </si>
  <si>
    <t>id_venta</t>
  </si>
  <si>
    <t>identificación por número de ventas o servicios</t>
  </si>
  <si>
    <t xml:space="preserve">serial			</t>
  </si>
  <si>
    <t>id_cedula_comprador</t>
  </si>
  <si>
    <t>id_cedula_vendedor</t>
  </si>
  <si>
    <t xml:space="preserve">identificacion del vendedor del producto asignado
</t>
  </si>
  <si>
    <t>identificación por número del producto</t>
  </si>
  <si>
    <t>fecha_venta</t>
  </si>
  <si>
    <t>fecha en la que se finalizó la venta</t>
  </si>
  <si>
    <t>metodo_pago_venta</t>
  </si>
  <si>
    <t>transferencia nequi,transferencia bancolombia, físico, entre otros.</t>
  </si>
  <si>
    <t>titulo_publicidad</t>
  </si>
  <si>
    <t>nombre del título de la campaña</t>
  </si>
  <si>
    <t>contenido_publicidad</t>
  </si>
  <si>
    <t>contenido de la publicidad</t>
  </si>
  <si>
    <t>enlace_destino</t>
  </si>
  <si>
    <t>enlace directo del destino del mensaje/publicación</t>
  </si>
  <si>
    <t xml:space="preserve">varchar			</t>
  </si>
  <si>
    <t>fecha específica de la publicación</t>
  </si>
  <si>
    <t xml:space="preserve">muestra de que el comentario o la publicación fue recibida de buena o mala manera por los usuarios																	</t>
  </si>
  <si>
    <t>Id_publicacion</t>
  </si>
  <si>
    <t>identificación por número de la publicacion</t>
  </si>
  <si>
    <t>id_reaccion</t>
  </si>
  <si>
    <t>Identificado de reaccion</t>
  </si>
  <si>
    <t>id_notificacion</t>
  </si>
  <si>
    <t>id_cedula_emisor</t>
  </si>
  <si>
    <t>id_cedula_receptor</t>
  </si>
  <si>
    <t>identificación del usuario que recibe el mensaje</t>
  </si>
  <si>
    <t>Informacion_notificacion</t>
  </si>
  <si>
    <t>información de la notificación</t>
  </si>
  <si>
    <t>fecha_notificacion</t>
  </si>
  <si>
    <t>fecha de la notificación enviada/recibida</t>
  </si>
  <si>
    <t>mensajes</t>
  </si>
  <si>
    <t>identificación de cédula del emisor</t>
  </si>
  <si>
    <t>id _cedula _receptor</t>
  </si>
  <si>
    <t>identificación de cédula del receptor</t>
  </si>
  <si>
    <t>argumento_mensaje</t>
  </si>
  <si>
    <t>todo lo que contiene el mensaje enviado</t>
  </si>
  <si>
    <t>id_mensaje</t>
  </si>
  <si>
    <t>identificación del mensaje</t>
  </si>
  <si>
    <t>fecha_envio</t>
  </si>
  <si>
    <t xml:space="preserve">interaccion de un usuario de un tipo de servicio																	</t>
  </si>
  <si>
    <t>id_solicitud_servicio</t>
  </si>
  <si>
    <t>identificación por número de cada parte del servicio</t>
  </si>
  <si>
    <t>fecha_solicitud</t>
  </si>
  <si>
    <t>fecha de la solicitud del servicio</t>
  </si>
  <si>
    <t>estado_solicitud</t>
  </si>
  <si>
    <t>estado de la solicitud del servicio</t>
  </si>
  <si>
    <t>precio_solicitud</t>
  </si>
  <si>
    <t>precio del valor de la solicitud del servicio</t>
  </si>
  <si>
    <t xml:space="preserve">interaccion de un usuario a un grupo																	</t>
  </si>
  <si>
    <t>documento con el que se puede identificar al usuario que perenece a un grupo</t>
  </si>
  <si>
    <t>fecha_ingreso</t>
  </si>
  <si>
    <t>fecha en la que inicio el usuario en grupo</t>
  </si>
  <si>
    <t xml:space="preserve">Cantidad de reacciones que recibe un comentario																	</t>
  </si>
  <si>
    <t>documento con el que se puede identificar al usuario que asiste a los eventos</t>
  </si>
  <si>
    <t>identificación por número de los tipos de eventos</t>
  </si>
  <si>
    <t>fecha_inscripcion</t>
  </si>
  <si>
    <t>fecha en la que se incribio el usuario al evento</t>
  </si>
  <si>
    <t>documento con el que se puede identificar al usuario que reacciona al comentario</t>
  </si>
  <si>
    <t>id_reaccion_comentario</t>
  </si>
  <si>
    <t>Identificación por número de cada reacción a un comentario</t>
  </si>
  <si>
    <t>Comentario al que se reacciona</t>
  </si>
  <si>
    <t>tipo_reaccion</t>
  </si>
  <si>
    <t>Tipo de reacción emitida</t>
  </si>
  <si>
    <t>fecha_reaccion</t>
  </si>
  <si>
    <t>Fecha en la que se registró la reacción</t>
  </si>
  <si>
    <t xml:space="preserve">nace de la relacion usuario a un tipo de usuario																	</t>
  </si>
  <si>
    <t>fecha_asignacion</t>
  </si>
  <si>
    <t>Fecha desde la cual el usuario tiene ese tipo</t>
  </si>
  <si>
    <t xml:space="preserve">publicidad_reaccion			</t>
  </si>
  <si>
    <t xml:space="preserve">nace de la relacion publicidad y reaccion																	</t>
  </si>
  <si>
    <t>id_publicidad_reaccion</t>
  </si>
  <si>
    <t>Identificación por número de cada reacción a una publicidad</t>
  </si>
  <si>
    <t xml:space="preserve">Puede seguir agregando tablas. Solamente tiene que copiar y pegar hacia abajo hasta que complete todas las tablas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</si>
</sst>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4.0"/>
      <color rgb="FFFFFFFF"/>
      <name val="Calibri"/>
    </font>
    <font>
      <b/>
      <sz val="18.0"/>
      <color rgb="FFFFFFFF"/>
      <name val="Calibri"/>
    </font>
    <font>
      <b/>
      <sz val="12.0"/>
      <color theme="1"/>
      <name val="Calibri"/>
    </font>
    <font>
      <b/>
      <sz val="12.0"/>
      <color rgb="FFFFFFFF"/>
      <name val="Calibri"/>
    </font>
    <font/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Arial"/>
      <scheme val="minor"/>
    </font>
    <font>
      <b/>
      <sz val="12.0"/>
      <color rgb="FF0000FF"/>
      <name val="Calibri"/>
    </font>
    <font>
      <sz val="12.0"/>
      <color theme="1"/>
      <name val="Arial"/>
    </font>
    <font>
      <b/>
      <i/>
      <sz val="12.0"/>
      <color rgb="FFE0666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0" fillId="2" fontId="5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wrapText="1"/>
    </xf>
    <xf borderId="5" fillId="0" fontId="6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readingOrder="0" shrinkToFit="0" wrapText="1"/>
    </xf>
    <xf borderId="6" fillId="0" fontId="8" numFmtId="0" xfId="0" applyBorder="1" applyFont="1"/>
    <xf borderId="7" fillId="0" fontId="6" numFmtId="0" xfId="0" applyBorder="1" applyFont="1"/>
    <xf borderId="8" fillId="0" fontId="6" numFmtId="0" xfId="0" applyBorder="1" applyFont="1"/>
    <xf borderId="2" fillId="0" fontId="8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2" fillId="0" fontId="8" numFmtId="0" xfId="0" applyAlignment="1" applyBorder="1" applyFont="1">
      <alignment readingOrder="0" shrinkToFit="0" vertical="center" wrapText="1"/>
    </xf>
    <xf borderId="0" fillId="2" fontId="5" numFmtId="0" xfId="0" applyAlignment="1" applyFill="1" applyFont="1">
      <alignment horizontal="center" readingOrder="0" vertical="center"/>
    </xf>
    <xf borderId="9" fillId="4" fontId="1" numFmtId="0" xfId="0" applyAlignment="1" applyBorder="1" applyFill="1" applyFont="1">
      <alignment horizontal="center" shrinkToFit="0" vertical="center" wrapText="1"/>
    </xf>
    <xf borderId="10" fillId="4" fontId="1" numFmtId="0" xfId="0" applyAlignment="1" applyBorder="1" applyFill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left" readingOrder="0" vertical="center"/>
    </xf>
    <xf borderId="2" fillId="3" fontId="8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" fillId="5" fontId="10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3" fontId="7" numFmtId="164" xfId="0" applyAlignment="1" applyBorder="1" applyFill="1" applyFont="1" applyNumberFormat="1">
      <alignment horizontal="center" readingOrder="0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vertical="center"/>
    </xf>
    <xf borderId="2" fillId="3" fontId="11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shrinkToFit="0" vertical="center" wrapText="1"/>
    </xf>
    <xf borderId="2" fillId="3" fontId="11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vertical="center"/>
    </xf>
    <xf borderId="2" fillId="3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8" numFmtId="0" xfId="0" applyAlignment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ill="1" applyFont="1">
      <alignment readingOrder="0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3" fontId="11" numFmtId="0" xfId="0" applyAlignment="1" applyFill="1" applyFont="1">
      <alignment vertical="center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 vertical="center"/>
    </xf>
    <xf borderId="1" fillId="5" fontId="10" numFmtId="0" xfId="0" applyAlignment="1" applyBorder="1" applyFill="1" applyFont="1">
      <alignment horizontal="center" shrinkToFit="0" vertical="center" wrapText="1"/>
    </xf>
    <xf borderId="2" fillId="3" fontId="11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3" fontId="11" numFmtId="0" xfId="0" applyAlignment="1" applyBorder="1" applyFill="1" applyFont="1">
      <alignment horizontal="center" shrinkToFit="0" vertical="center" wrapText="1"/>
    </xf>
    <xf borderId="6" fillId="3" fontId="11" numFmtId="0" xfId="0" applyAlignment="1" applyBorder="1" applyFill="1" applyFont="1">
      <alignment shrinkToFit="0" vertical="center" wrapText="1"/>
    </xf>
    <xf borderId="6" fillId="3" fontId="11" numFmtId="0" xfId="0" applyAlignment="1" applyBorder="1" applyFill="1" applyFont="1">
      <alignment horizontal="center" shrinkToFit="0" vertical="center" wrapText="1"/>
    </xf>
    <xf borderId="6" fillId="3" fontId="11" numFmtId="0" xfId="0" applyAlignment="1" applyBorder="1" applyFill="1" applyFont="1">
      <alignment vertical="center"/>
    </xf>
    <xf borderId="6" fillId="3" fontId="7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2" fillId="5" fontId="1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16811625" cy="7162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4">
      <c r="K24" s="1"/>
    </row>
    <row r="25">
      <c r="K25" s="1"/>
    </row>
    <row r="26">
      <c r="K26" s="1"/>
    </row>
    <row r="27">
      <c r="K27" s="1"/>
    </row>
    <row r="28">
      <c r="K28" s="1"/>
    </row>
    <row r="29">
      <c r="K29" s="1"/>
    </row>
    <row r="30">
      <c r="K30" s="1"/>
    </row>
    <row r="31">
      <c r="K31" s="1"/>
    </row>
    <row r="32">
      <c r="K32" s="1"/>
    </row>
    <row r="33">
      <c r="K33" s="1"/>
    </row>
    <row r="34">
      <c r="K3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84.88"/>
    <col customWidth="1" min="4" max="4" width="39.38"/>
  </cols>
  <sheetData>
    <row r="1" ht="28.5" customHeight="1">
      <c r="A1" s="2" t="s">
        <v>0</v>
      </c>
      <c r="E1" s="3"/>
      <c r="F1" s="3"/>
      <c r="G1" s="3"/>
      <c r="H1" s="3"/>
      <c r="I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</row>
    <row r="3" ht="30.0" customHeight="1">
      <c r="A3" s="5">
        <v>1.0</v>
      </c>
      <c r="B3" s="6" t="s">
        <v>5</v>
      </c>
      <c r="C3" s="7" t="s">
        <v>6</v>
      </c>
      <c r="D3" s="8"/>
    </row>
    <row r="4" ht="30.0" customHeight="1">
      <c r="A4" s="5">
        <f t="shared" ref="A4:A26" si="1">A3+1</f>
        <v>2</v>
      </c>
      <c r="B4" s="6" t="s">
        <v>7</v>
      </c>
      <c r="C4" s="7" t="s">
        <v>8</v>
      </c>
      <c r="D4" s="8"/>
    </row>
    <row r="5" ht="30.0" customHeight="1">
      <c r="A5" s="5">
        <f t="shared" si="1"/>
        <v>3</v>
      </c>
      <c r="B5" s="6" t="s">
        <v>9</v>
      </c>
      <c r="C5" s="7" t="s">
        <v>10</v>
      </c>
      <c r="D5" s="8"/>
    </row>
    <row r="6" ht="30.0" customHeight="1">
      <c r="A6" s="5">
        <f t="shared" si="1"/>
        <v>4</v>
      </c>
      <c r="B6" s="6" t="s">
        <v>11</v>
      </c>
      <c r="C6" s="7" t="s">
        <v>12</v>
      </c>
      <c r="D6" s="8"/>
    </row>
    <row r="7" ht="30.0" customHeight="1">
      <c r="A7" s="5">
        <f t="shared" si="1"/>
        <v>5</v>
      </c>
      <c r="B7" s="6" t="s">
        <v>13</v>
      </c>
      <c r="C7" s="7" t="s">
        <v>14</v>
      </c>
      <c r="D7" s="8"/>
    </row>
    <row r="8" ht="30.0" customHeight="1">
      <c r="A8" s="5">
        <f t="shared" si="1"/>
        <v>6</v>
      </c>
      <c r="B8" s="6" t="s">
        <v>15</v>
      </c>
      <c r="C8" s="7" t="s">
        <v>16</v>
      </c>
      <c r="D8" s="8"/>
    </row>
    <row r="9" ht="30.0" customHeight="1">
      <c r="A9" s="5">
        <f t="shared" si="1"/>
        <v>7</v>
      </c>
      <c r="B9" s="6" t="s">
        <v>17</v>
      </c>
      <c r="C9" s="7" t="s">
        <v>18</v>
      </c>
      <c r="D9" s="8"/>
    </row>
    <row r="10" ht="30.0" customHeight="1">
      <c r="A10" s="5">
        <f t="shared" si="1"/>
        <v>8</v>
      </c>
      <c r="B10" s="6" t="s">
        <v>19</v>
      </c>
      <c r="C10" s="7" t="s">
        <v>20</v>
      </c>
      <c r="D10" s="8"/>
    </row>
    <row r="11" ht="30.0" customHeight="1">
      <c r="A11" s="5">
        <f t="shared" si="1"/>
        <v>9</v>
      </c>
      <c r="B11" s="6" t="s">
        <v>21</v>
      </c>
      <c r="C11" s="7" t="s">
        <v>22</v>
      </c>
      <c r="D11" s="8"/>
    </row>
    <row r="12" ht="30.0" customHeight="1">
      <c r="A12" s="5">
        <f t="shared" si="1"/>
        <v>10</v>
      </c>
      <c r="B12" s="6" t="s">
        <v>23</v>
      </c>
      <c r="C12" s="7" t="s">
        <v>24</v>
      </c>
      <c r="D12" s="8"/>
    </row>
    <row r="13" ht="30.0" customHeight="1">
      <c r="A13" s="5">
        <f t="shared" si="1"/>
        <v>11</v>
      </c>
      <c r="B13" s="6" t="s">
        <v>25</v>
      </c>
      <c r="C13" s="7" t="s">
        <v>26</v>
      </c>
      <c r="D13" s="8"/>
    </row>
    <row r="14" ht="30.0" customHeight="1">
      <c r="A14" s="5">
        <f t="shared" si="1"/>
        <v>12</v>
      </c>
      <c r="B14" s="9" t="s">
        <v>27</v>
      </c>
      <c r="C14" s="10" t="s">
        <v>28</v>
      </c>
      <c r="D14" s="11"/>
    </row>
    <row r="15" ht="30.0" customHeight="1">
      <c r="A15" s="5">
        <f t="shared" si="1"/>
        <v>13</v>
      </c>
      <c r="B15" s="9" t="s">
        <v>29</v>
      </c>
      <c r="C15" s="10" t="s">
        <v>30</v>
      </c>
      <c r="D15" s="8"/>
    </row>
    <row r="16" ht="30.0" customHeight="1">
      <c r="A16" s="5">
        <f t="shared" si="1"/>
        <v>14</v>
      </c>
      <c r="B16" s="9" t="s">
        <v>31</v>
      </c>
      <c r="C16" s="10" t="s">
        <v>32</v>
      </c>
      <c r="D16" s="11"/>
    </row>
    <row r="17" ht="30.0" customHeight="1">
      <c r="A17" s="5">
        <f t="shared" si="1"/>
        <v>15</v>
      </c>
      <c r="B17" s="9" t="s">
        <v>33</v>
      </c>
      <c r="C17" s="10" t="s">
        <v>34</v>
      </c>
      <c r="D17" s="11"/>
    </row>
    <row r="18" ht="30.0" customHeight="1">
      <c r="A18" s="5">
        <f t="shared" si="1"/>
        <v>16</v>
      </c>
      <c r="B18" s="9" t="s">
        <v>35</v>
      </c>
      <c r="C18" s="7" t="s">
        <v>36</v>
      </c>
      <c r="D18" s="11"/>
    </row>
    <row r="19" ht="30.0" customHeight="1">
      <c r="A19" s="5">
        <f t="shared" si="1"/>
        <v>17</v>
      </c>
      <c r="B19" s="9" t="s">
        <v>37</v>
      </c>
      <c r="C19" s="10" t="s">
        <v>38</v>
      </c>
      <c r="D19" s="11"/>
    </row>
    <row r="20" ht="30.0" customHeight="1">
      <c r="A20" s="5">
        <f t="shared" si="1"/>
        <v>18</v>
      </c>
      <c r="B20" s="9" t="s">
        <v>39</v>
      </c>
      <c r="C20" s="10" t="s">
        <v>40</v>
      </c>
      <c r="D20" s="11"/>
    </row>
    <row r="21" ht="30.0" customHeight="1">
      <c r="A21" s="5">
        <f t="shared" si="1"/>
        <v>19</v>
      </c>
      <c r="B21" s="12" t="s">
        <v>41</v>
      </c>
      <c r="C21" s="10" t="s">
        <v>42</v>
      </c>
      <c r="D21" s="11"/>
    </row>
    <row r="22" ht="30.0" customHeight="1">
      <c r="A22" s="5">
        <f t="shared" si="1"/>
        <v>20</v>
      </c>
      <c r="B22" s="12" t="s">
        <v>43</v>
      </c>
      <c r="C22" s="10" t="s">
        <v>44</v>
      </c>
      <c r="D22" s="11"/>
    </row>
    <row r="23" ht="30.0" customHeight="1">
      <c r="A23" s="5">
        <f t="shared" si="1"/>
        <v>21</v>
      </c>
      <c r="B23" s="12" t="s">
        <v>45</v>
      </c>
      <c r="C23" s="10" t="s">
        <v>46</v>
      </c>
      <c r="D23" s="11"/>
    </row>
    <row r="24" ht="30.0" customHeight="1">
      <c r="A24" s="5">
        <f t="shared" si="1"/>
        <v>22</v>
      </c>
      <c r="B24" s="12" t="s">
        <v>47</v>
      </c>
      <c r="C24" s="10" t="s">
        <v>48</v>
      </c>
      <c r="D24" s="11"/>
    </row>
    <row r="25" ht="30.0" customHeight="1">
      <c r="A25" s="5">
        <f t="shared" si="1"/>
        <v>23</v>
      </c>
      <c r="B25" s="12" t="s">
        <v>49</v>
      </c>
      <c r="C25" s="10" t="s">
        <v>50</v>
      </c>
      <c r="D25" s="11"/>
    </row>
    <row r="26" ht="30.0" customHeight="1">
      <c r="A26" s="5">
        <f t="shared" si="1"/>
        <v>24</v>
      </c>
      <c r="B26" s="12" t="s">
        <v>51</v>
      </c>
      <c r="C26" s="10" t="s">
        <v>52</v>
      </c>
      <c r="D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38.0"/>
    <col customWidth="1" min="4" max="4" width="71.88"/>
    <col customWidth="1" min="5" max="5" width="16.63"/>
  </cols>
  <sheetData>
    <row r="1" ht="28.5" customHeight="1">
      <c r="A1" s="13" t="s">
        <v>53</v>
      </c>
      <c r="I1" s="3"/>
    </row>
    <row r="2" ht="36.0" customHeight="1">
      <c r="A2" s="4" t="s">
        <v>1</v>
      </c>
      <c r="B2" s="14" t="s">
        <v>54</v>
      </c>
      <c r="C2" s="4" t="s">
        <v>55</v>
      </c>
      <c r="D2" s="15" t="s">
        <v>56</v>
      </c>
      <c r="E2" s="15" t="s">
        <v>57</v>
      </c>
      <c r="F2" s="15" t="s">
        <v>4</v>
      </c>
      <c r="G2" s="16"/>
      <c r="H2" s="17"/>
    </row>
    <row r="3" ht="30.0" customHeight="1">
      <c r="A3" s="5">
        <v>1.0</v>
      </c>
      <c r="B3" s="18" t="s">
        <v>58</v>
      </c>
      <c r="C3" s="19" t="s">
        <v>59</v>
      </c>
      <c r="D3" s="20" t="s">
        <v>60</v>
      </c>
      <c r="E3" s="21" t="s">
        <v>61</v>
      </c>
      <c r="F3" s="22" t="s">
        <v>62</v>
      </c>
      <c r="H3" s="23"/>
    </row>
    <row r="4" ht="30.0" customHeight="1">
      <c r="A4" s="19">
        <v>2.0</v>
      </c>
      <c r="B4" s="24" t="s">
        <v>58</v>
      </c>
      <c r="C4" s="19" t="s">
        <v>63</v>
      </c>
      <c r="D4" s="20" t="s">
        <v>64</v>
      </c>
      <c r="E4" s="21" t="s">
        <v>65</v>
      </c>
      <c r="F4" s="25" t="s">
        <v>66</v>
      </c>
      <c r="G4" s="16"/>
      <c r="H4" s="17"/>
    </row>
    <row r="5" ht="30.0" customHeight="1">
      <c r="A5" s="5">
        <v>3.0</v>
      </c>
      <c r="B5" s="18" t="s">
        <v>67</v>
      </c>
      <c r="C5" s="19" t="s">
        <v>67</v>
      </c>
      <c r="D5" s="20" t="s">
        <v>68</v>
      </c>
      <c r="E5" s="21" t="s">
        <v>69</v>
      </c>
      <c r="F5" s="26"/>
      <c r="G5" s="27"/>
      <c r="H5" s="28"/>
    </row>
    <row r="6" ht="30.0" customHeight="1">
      <c r="A6" s="19">
        <v>4.0</v>
      </c>
      <c r="B6" s="18" t="s">
        <v>70</v>
      </c>
      <c r="C6" s="19" t="s">
        <v>71</v>
      </c>
      <c r="D6" s="20" t="s">
        <v>72</v>
      </c>
      <c r="E6" s="21" t="s">
        <v>61</v>
      </c>
      <c r="F6" s="26"/>
      <c r="G6" s="27"/>
      <c r="H6" s="28"/>
    </row>
    <row r="7" ht="30.0" customHeight="1">
      <c r="A7" s="5">
        <v>5.0</v>
      </c>
      <c r="B7" s="18" t="s">
        <v>73</v>
      </c>
      <c r="C7" s="19" t="s">
        <v>74</v>
      </c>
      <c r="D7" s="20" t="s">
        <v>75</v>
      </c>
      <c r="E7" s="21" t="s">
        <v>76</v>
      </c>
      <c r="F7" s="26"/>
      <c r="G7" s="27"/>
      <c r="H7" s="28"/>
    </row>
    <row r="8" ht="30.0" customHeight="1">
      <c r="A8" s="19">
        <v>6.0</v>
      </c>
      <c r="B8" s="18" t="s">
        <v>77</v>
      </c>
      <c r="C8" s="19" t="s">
        <v>78</v>
      </c>
      <c r="D8" s="20" t="s">
        <v>79</v>
      </c>
      <c r="E8" s="21" t="s">
        <v>80</v>
      </c>
      <c r="F8" s="26"/>
      <c r="G8" s="27"/>
      <c r="H8" s="28"/>
    </row>
    <row r="9" ht="30.0" customHeight="1">
      <c r="A9" s="5">
        <v>7.0</v>
      </c>
      <c r="B9" s="18" t="s">
        <v>81</v>
      </c>
      <c r="C9" s="19" t="s">
        <v>82</v>
      </c>
      <c r="D9" s="20" t="s">
        <v>83</v>
      </c>
      <c r="E9" s="21" t="s">
        <v>76</v>
      </c>
      <c r="F9" s="26"/>
      <c r="G9" s="27"/>
      <c r="H9" s="28"/>
    </row>
    <row r="10" ht="30.0" customHeight="1">
      <c r="A10" s="19">
        <v>8.0</v>
      </c>
      <c r="B10" s="18" t="s">
        <v>84</v>
      </c>
      <c r="C10" s="19" t="s">
        <v>85</v>
      </c>
      <c r="D10" s="20" t="s">
        <v>86</v>
      </c>
      <c r="E10" s="21" t="s">
        <v>80</v>
      </c>
      <c r="F10" s="29"/>
      <c r="G10" s="16"/>
      <c r="H10" s="17"/>
    </row>
    <row r="11" ht="30.0" customHeight="1">
      <c r="A11" s="5">
        <v>9.0</v>
      </c>
      <c r="B11" s="18" t="s">
        <v>84</v>
      </c>
      <c r="C11" s="19" t="s">
        <v>87</v>
      </c>
      <c r="D11" s="20" t="s">
        <v>88</v>
      </c>
      <c r="E11" s="21" t="s">
        <v>89</v>
      </c>
      <c r="F11" s="22" t="s">
        <v>90</v>
      </c>
      <c r="H11" s="23"/>
    </row>
    <row r="12" ht="30.0" customHeight="1">
      <c r="A12" s="19">
        <v>10.0</v>
      </c>
      <c r="B12" s="18" t="s">
        <v>91</v>
      </c>
      <c r="C12" s="19" t="s">
        <v>92</v>
      </c>
      <c r="D12" s="20" t="s">
        <v>93</v>
      </c>
      <c r="E12" s="21" t="s">
        <v>61</v>
      </c>
      <c r="F12" s="29"/>
      <c r="G12" s="16"/>
      <c r="H12" s="17"/>
    </row>
    <row r="13" ht="30.0" customHeight="1">
      <c r="A13" s="5">
        <v>11.0</v>
      </c>
      <c r="B13" s="18" t="s">
        <v>94</v>
      </c>
      <c r="C13" s="19" t="s">
        <v>95</v>
      </c>
      <c r="D13" s="20" t="s">
        <v>96</v>
      </c>
      <c r="E13" s="21" t="s">
        <v>65</v>
      </c>
      <c r="F13" s="22" t="s">
        <v>97</v>
      </c>
      <c r="H13" s="23"/>
    </row>
    <row r="14" ht="30.0" customHeight="1">
      <c r="A14" s="19">
        <v>12.0</v>
      </c>
      <c r="B14" s="18" t="s">
        <v>98</v>
      </c>
      <c r="C14" s="19" t="s">
        <v>99</v>
      </c>
      <c r="D14" s="20" t="s">
        <v>100</v>
      </c>
      <c r="E14" s="21" t="s">
        <v>76</v>
      </c>
      <c r="F14" s="26"/>
      <c r="G14" s="27"/>
      <c r="H14" s="28"/>
    </row>
    <row r="15" ht="30.0" customHeight="1">
      <c r="A15" s="5">
        <v>13.0</v>
      </c>
      <c r="B15" s="18" t="s">
        <v>101</v>
      </c>
      <c r="C15" s="19" t="s">
        <v>99</v>
      </c>
      <c r="D15" s="20" t="s">
        <v>102</v>
      </c>
      <c r="E15" s="21" t="s">
        <v>76</v>
      </c>
      <c r="F15" s="26"/>
      <c r="G15" s="27"/>
      <c r="H15" s="28"/>
    </row>
    <row r="16" ht="30.0" customHeight="1">
      <c r="A16" s="19">
        <v>14.0</v>
      </c>
      <c r="B16" s="18" t="s">
        <v>103</v>
      </c>
      <c r="C16" s="30" t="s">
        <v>104</v>
      </c>
      <c r="D16" s="20" t="s">
        <v>105</v>
      </c>
      <c r="E16" s="21" t="s">
        <v>76</v>
      </c>
      <c r="F16" s="26"/>
      <c r="G16" s="27"/>
      <c r="H16" s="28"/>
    </row>
    <row r="17" ht="30.0" customHeight="1">
      <c r="A17" s="5">
        <v>15.0</v>
      </c>
      <c r="B17" s="18" t="s">
        <v>106</v>
      </c>
      <c r="C17" s="30" t="s">
        <v>107</v>
      </c>
      <c r="D17" s="20" t="s">
        <v>108</v>
      </c>
      <c r="E17" s="21" t="s">
        <v>61</v>
      </c>
      <c r="F17" s="26"/>
      <c r="G17" s="27"/>
      <c r="H17" s="28"/>
    </row>
    <row r="18" ht="30.0" customHeight="1">
      <c r="A18" s="19">
        <v>16.0</v>
      </c>
      <c r="B18" s="18" t="s">
        <v>109</v>
      </c>
      <c r="C18" s="30" t="s">
        <v>110</v>
      </c>
      <c r="D18" s="20" t="s">
        <v>111</v>
      </c>
      <c r="E18" s="21" t="s">
        <v>76</v>
      </c>
      <c r="F18" s="26"/>
      <c r="G18" s="27"/>
      <c r="H18" s="28"/>
    </row>
    <row r="19" ht="30.0" customHeight="1">
      <c r="A19" s="5">
        <v>17.0</v>
      </c>
      <c r="B19" s="18" t="s">
        <v>112</v>
      </c>
      <c r="C19" s="30" t="s">
        <v>99</v>
      </c>
      <c r="D19" s="20" t="s">
        <v>113</v>
      </c>
      <c r="E19" s="21" t="s">
        <v>76</v>
      </c>
      <c r="F19" s="26"/>
      <c r="G19" s="27"/>
      <c r="H19" s="28"/>
    </row>
    <row r="20" ht="27.75" customHeight="1">
      <c r="A20" s="19">
        <v>18.0</v>
      </c>
      <c r="B20" s="18" t="s">
        <v>114</v>
      </c>
      <c r="C20" s="31" t="s">
        <v>115</v>
      </c>
      <c r="D20" s="20" t="s">
        <v>116</v>
      </c>
      <c r="E20" s="21" t="s">
        <v>76</v>
      </c>
      <c r="F20" s="32" t="s">
        <v>117</v>
      </c>
      <c r="G20" s="16"/>
      <c r="H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0">
    <mergeCell ref="A1:H1"/>
    <mergeCell ref="F2:H2"/>
    <mergeCell ref="F3:H3"/>
    <mergeCell ref="F4:H4"/>
    <mergeCell ref="F5:H5"/>
    <mergeCell ref="F6:H6"/>
    <mergeCell ref="F7:H7"/>
    <mergeCell ref="F15:H15"/>
    <mergeCell ref="F16:H16"/>
    <mergeCell ref="F17:H17"/>
    <mergeCell ref="F18:H18"/>
    <mergeCell ref="F19:H19"/>
    <mergeCell ref="F20:H20"/>
    <mergeCell ref="F8:H8"/>
    <mergeCell ref="F9:H9"/>
    <mergeCell ref="F10:H10"/>
    <mergeCell ref="F11:H11"/>
    <mergeCell ref="F12:H12"/>
    <mergeCell ref="F13:H13"/>
    <mergeCell ref="F14:H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6.75"/>
    <col customWidth="1" min="3" max="3" width="13.38"/>
    <col customWidth="1" min="4" max="5" width="3.88"/>
    <col customWidth="1" min="6" max="6" width="25.25"/>
    <col customWidth="1" min="7" max="9" width="3.88"/>
    <col customWidth="1" min="10" max="10" width="5.25"/>
    <col customWidth="1" min="11" max="13" width="3.88"/>
    <col customWidth="1" min="14" max="14" width="10.13"/>
    <col customWidth="1" min="15" max="22" width="3.88"/>
    <col customWidth="1" min="23" max="23" width="4.63"/>
    <col customWidth="1" min="24" max="24" width="17.0"/>
    <col customWidth="1" min="25" max="25" width="30.38"/>
  </cols>
  <sheetData>
    <row r="1" ht="25.5" customHeight="1">
      <c r="A1" s="33" t="s">
        <v>118</v>
      </c>
    </row>
    <row r="2" ht="30.75" customHeight="1">
      <c r="A2" s="13" t="s">
        <v>119</v>
      </c>
    </row>
    <row r="3" ht="25.5" customHeight="1">
      <c r="A3" s="34" t="s">
        <v>1</v>
      </c>
      <c r="B3" s="35" t="s">
        <v>2</v>
      </c>
      <c r="C3" s="36"/>
      <c r="D3" s="36"/>
      <c r="E3" s="37"/>
      <c r="F3" s="35" t="s">
        <v>3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35" t="s">
        <v>4</v>
      </c>
      <c r="Y3" s="38"/>
    </row>
    <row r="4" ht="30.0" customHeight="1">
      <c r="A4" s="5">
        <v>1.0</v>
      </c>
      <c r="B4" s="39" t="str">
        <f>'Inventario Modelo Lógico (corre'!B3</f>
        <v>usuario</v>
      </c>
      <c r="C4" s="16"/>
      <c r="D4" s="16"/>
      <c r="E4" s="17"/>
      <c r="F4" s="40" t="str">
        <f>'Inventario Modelo Lógico (corre'!C3</f>
        <v>datos del usuario dentro de la red social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  <c r="X4" s="41"/>
      <c r="Y4" s="17"/>
    </row>
    <row r="5" ht="30.0" customHeight="1">
      <c r="A5" s="5">
        <f t="shared" ref="A5:A27" si="1">A4+1</f>
        <v>2</v>
      </c>
      <c r="B5" s="39" t="str">
        <f>'Inventario Modelo Lógico (corre'!B4</f>
        <v>rol</v>
      </c>
      <c r="C5" s="16"/>
      <c r="D5" s="16"/>
      <c r="E5" s="17"/>
      <c r="F5" s="42" t="s">
        <v>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7"/>
      <c r="X5" s="41"/>
      <c r="Y5" s="17"/>
    </row>
    <row r="6" ht="25.5" customHeight="1">
      <c r="A6" s="5">
        <f t="shared" si="1"/>
        <v>3</v>
      </c>
      <c r="B6" s="39" t="s">
        <v>9</v>
      </c>
      <c r="C6" s="16"/>
      <c r="D6" s="16"/>
      <c r="E6" s="17"/>
      <c r="F6" s="43" t="s">
        <v>10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41"/>
      <c r="Y6" s="17"/>
    </row>
    <row r="7" ht="42.75" customHeight="1">
      <c r="A7" s="5">
        <f t="shared" si="1"/>
        <v>4</v>
      </c>
      <c r="B7" s="39" t="s">
        <v>120</v>
      </c>
      <c r="C7" s="16"/>
      <c r="D7" s="16"/>
      <c r="E7" s="17"/>
      <c r="F7" s="43" t="s">
        <v>12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  <c r="X7" s="41"/>
      <c r="Y7" s="17"/>
    </row>
    <row r="8" ht="31.5" customHeight="1">
      <c r="A8" s="5">
        <f t="shared" si="1"/>
        <v>5</v>
      </c>
      <c r="B8" s="39" t="s">
        <v>13</v>
      </c>
      <c r="C8" s="16"/>
      <c r="D8" s="16"/>
      <c r="E8" s="17"/>
      <c r="F8" s="43" t="s">
        <v>14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41"/>
      <c r="Y8" s="17"/>
    </row>
    <row r="9" ht="30.0" customHeight="1">
      <c r="A9" s="5">
        <f t="shared" si="1"/>
        <v>6</v>
      </c>
      <c r="B9" s="39" t="s">
        <v>15</v>
      </c>
      <c r="C9" s="16"/>
      <c r="D9" s="16"/>
      <c r="E9" s="17"/>
      <c r="F9" s="44" t="s">
        <v>16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  <c r="X9" s="41"/>
      <c r="Y9" s="17"/>
    </row>
    <row r="10" ht="30.0" customHeight="1">
      <c r="A10" s="5">
        <f t="shared" si="1"/>
        <v>7</v>
      </c>
      <c r="B10" s="39" t="s">
        <v>17</v>
      </c>
      <c r="C10" s="16"/>
      <c r="D10" s="16"/>
      <c r="E10" s="17"/>
      <c r="F10" s="44" t="s">
        <v>18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41"/>
      <c r="Y10" s="17"/>
    </row>
    <row r="11" ht="30.0" customHeight="1">
      <c r="A11" s="5">
        <f t="shared" si="1"/>
        <v>8</v>
      </c>
      <c r="B11" s="39" t="s">
        <v>19</v>
      </c>
      <c r="C11" s="16"/>
      <c r="D11" s="16"/>
      <c r="E11" s="17"/>
      <c r="F11" s="44" t="s">
        <v>20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41"/>
      <c r="Y11" s="17"/>
    </row>
    <row r="12" ht="30.0" customHeight="1">
      <c r="A12" s="5">
        <f t="shared" si="1"/>
        <v>9</v>
      </c>
      <c r="B12" s="39" t="s">
        <v>21</v>
      </c>
      <c r="C12" s="16"/>
      <c r="D12" s="16"/>
      <c r="E12" s="17"/>
      <c r="F12" s="44" t="s">
        <v>22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41"/>
      <c r="Y12" s="17"/>
    </row>
    <row r="13" ht="30.0" customHeight="1">
      <c r="A13" s="5">
        <f t="shared" si="1"/>
        <v>10</v>
      </c>
      <c r="B13" s="39" t="s">
        <v>23</v>
      </c>
      <c r="C13" s="16"/>
      <c r="D13" s="16"/>
      <c r="E13" s="17"/>
      <c r="F13" s="44" t="s">
        <v>24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41"/>
      <c r="Y13" s="17"/>
    </row>
    <row r="14" ht="30.0" customHeight="1">
      <c r="A14" s="5">
        <f t="shared" si="1"/>
        <v>11</v>
      </c>
      <c r="B14" s="39" t="s">
        <v>25</v>
      </c>
      <c r="C14" s="16"/>
      <c r="D14" s="16"/>
      <c r="E14" s="17"/>
      <c r="F14" s="44" t="s">
        <v>26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41"/>
      <c r="Y14" s="17"/>
    </row>
    <row r="15" ht="30.0" customHeight="1">
      <c r="A15" s="5">
        <f t="shared" si="1"/>
        <v>12</v>
      </c>
      <c r="B15" s="39" t="s">
        <v>27</v>
      </c>
      <c r="C15" s="16"/>
      <c r="D15" s="16"/>
      <c r="E15" s="17"/>
      <c r="F15" s="44" t="s">
        <v>28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41"/>
      <c r="Y15" s="17"/>
    </row>
    <row r="16" ht="30.0" customHeight="1">
      <c r="A16" s="5">
        <f t="shared" si="1"/>
        <v>13</v>
      </c>
      <c r="B16" s="39" t="s">
        <v>29</v>
      </c>
      <c r="C16" s="16"/>
      <c r="D16" s="16"/>
      <c r="E16" s="17"/>
      <c r="F16" s="44" t="s">
        <v>30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41"/>
      <c r="Y16" s="17"/>
    </row>
    <row r="17" ht="30.0" customHeight="1">
      <c r="A17" s="5">
        <f t="shared" si="1"/>
        <v>14</v>
      </c>
      <c r="B17" s="39" t="s">
        <v>31</v>
      </c>
      <c r="C17" s="16"/>
      <c r="D17" s="16"/>
      <c r="E17" s="17"/>
      <c r="F17" s="44" t="s">
        <v>32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  <c r="X17" s="41"/>
      <c r="Y17" s="17"/>
    </row>
    <row r="18" ht="30.0" customHeight="1">
      <c r="A18" s="5">
        <f t="shared" si="1"/>
        <v>15</v>
      </c>
      <c r="B18" s="39" t="s">
        <v>33</v>
      </c>
      <c r="C18" s="16"/>
      <c r="D18" s="16"/>
      <c r="E18" s="17"/>
      <c r="F18" s="44" t="s">
        <v>34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41"/>
      <c r="Y18" s="17"/>
    </row>
    <row r="19" ht="30.0" customHeight="1">
      <c r="A19" s="5">
        <f t="shared" si="1"/>
        <v>16</v>
      </c>
      <c r="B19" s="39" t="s">
        <v>35</v>
      </c>
      <c r="C19" s="16"/>
      <c r="D19" s="16"/>
      <c r="E19" s="17"/>
      <c r="F19" s="44" t="s">
        <v>36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  <c r="X19" s="41"/>
      <c r="Y19" s="17"/>
    </row>
    <row r="20" ht="30.0" customHeight="1">
      <c r="A20" s="5">
        <f t="shared" si="1"/>
        <v>17</v>
      </c>
      <c r="B20" s="39" t="s">
        <v>37</v>
      </c>
      <c r="C20" s="16"/>
      <c r="D20" s="16"/>
      <c r="E20" s="17"/>
      <c r="F20" s="44" t="s">
        <v>38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  <c r="X20" s="41"/>
      <c r="Y20" s="17"/>
    </row>
    <row r="21" ht="30.0" customHeight="1">
      <c r="A21" s="5">
        <f t="shared" si="1"/>
        <v>18</v>
      </c>
      <c r="B21" s="39" t="s">
        <v>39</v>
      </c>
      <c r="C21" s="16"/>
      <c r="D21" s="16"/>
      <c r="E21" s="17"/>
      <c r="F21" s="44" t="s">
        <v>40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41"/>
      <c r="Y21" s="17"/>
    </row>
    <row r="22" ht="30.0" customHeight="1">
      <c r="A22" s="5">
        <f t="shared" si="1"/>
        <v>19</v>
      </c>
      <c r="B22" s="39" t="s">
        <v>41</v>
      </c>
      <c r="C22" s="16"/>
      <c r="D22" s="16"/>
      <c r="E22" s="17"/>
      <c r="F22" s="44" t="s">
        <v>42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  <c r="X22" s="41"/>
      <c r="Y22" s="17"/>
    </row>
    <row r="23" ht="30.0" customHeight="1">
      <c r="A23" s="5">
        <f t="shared" si="1"/>
        <v>20</v>
      </c>
      <c r="B23" s="39" t="s">
        <v>43</v>
      </c>
      <c r="C23" s="16"/>
      <c r="D23" s="16"/>
      <c r="E23" s="17"/>
      <c r="F23" s="44" t="s">
        <v>44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41"/>
      <c r="Y23" s="17"/>
    </row>
    <row r="24" ht="30.0" customHeight="1">
      <c r="A24" s="5">
        <f t="shared" si="1"/>
        <v>21</v>
      </c>
      <c r="B24" s="39" t="s">
        <v>45</v>
      </c>
      <c r="C24" s="16"/>
      <c r="D24" s="16"/>
      <c r="E24" s="17"/>
      <c r="F24" s="44" t="s">
        <v>46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  <c r="X24" s="41"/>
      <c r="Y24" s="17"/>
    </row>
    <row r="25" ht="30.0" customHeight="1">
      <c r="A25" s="5">
        <f t="shared" si="1"/>
        <v>22</v>
      </c>
      <c r="B25" s="39" t="s">
        <v>47</v>
      </c>
      <c r="C25" s="16"/>
      <c r="D25" s="16"/>
      <c r="E25" s="17"/>
      <c r="F25" s="45" t="s">
        <v>121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  <c r="X25" s="41"/>
      <c r="Y25" s="17"/>
    </row>
    <row r="26" ht="30.0" customHeight="1">
      <c r="A26" s="5">
        <f t="shared" si="1"/>
        <v>23</v>
      </c>
      <c r="B26" s="39" t="s">
        <v>49</v>
      </c>
      <c r="C26" s="16"/>
      <c r="D26" s="16"/>
      <c r="E26" s="17"/>
      <c r="F26" s="44" t="s">
        <v>50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  <c r="X26" s="41"/>
      <c r="Y26" s="17"/>
    </row>
    <row r="27" ht="30.0" customHeight="1">
      <c r="A27" s="5">
        <f t="shared" si="1"/>
        <v>24</v>
      </c>
      <c r="B27" s="39" t="s">
        <v>51</v>
      </c>
      <c r="C27" s="16"/>
      <c r="D27" s="16"/>
      <c r="E27" s="17"/>
      <c r="F27" s="44" t="s">
        <v>52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/>
      <c r="X27" s="41"/>
      <c r="Y27" s="17"/>
    </row>
    <row r="28" ht="30.0" customHeight="1">
      <c r="A28" s="46"/>
      <c r="B28" s="47"/>
      <c r="F28" s="48"/>
      <c r="X28" s="47"/>
    </row>
    <row r="29" ht="24.75" customHeight="1">
      <c r="A29" s="13" t="s">
        <v>122</v>
      </c>
    </row>
    <row r="30" ht="28.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36.75" customHeight="1">
      <c r="A31" s="50">
        <v>1.0</v>
      </c>
      <c r="B31" s="51" t="s">
        <v>2</v>
      </c>
      <c r="C31" s="52" t="str">
        <f>B4</f>
        <v>usuario</v>
      </c>
      <c r="D31" s="16"/>
      <c r="E31" s="16"/>
      <c r="F31" s="17"/>
      <c r="G31" s="51" t="s">
        <v>3</v>
      </c>
      <c r="H31" s="16"/>
      <c r="I31" s="16"/>
      <c r="J31" s="17"/>
      <c r="K31" s="53" t="str">
        <f>F4</f>
        <v>datos del usuario dentro de la red social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  <c r="X31" s="54" t="s">
        <v>123</v>
      </c>
      <c r="Y31" s="55">
        <v>46023.0</v>
      </c>
    </row>
    <row r="32" ht="41.25" customHeight="1">
      <c r="A32" s="54" t="s">
        <v>1</v>
      </c>
      <c r="B32" s="54" t="s">
        <v>124</v>
      </c>
      <c r="C32" s="51" t="s">
        <v>125</v>
      </c>
      <c r="D32" s="16"/>
      <c r="E32" s="16"/>
      <c r="F32" s="17"/>
      <c r="G32" s="51" t="s">
        <v>126</v>
      </c>
      <c r="H32" s="16"/>
      <c r="I32" s="16"/>
      <c r="J32" s="17"/>
      <c r="K32" s="51" t="s">
        <v>127</v>
      </c>
      <c r="L32" s="16"/>
      <c r="M32" s="16"/>
      <c r="N32" s="17"/>
      <c r="O32" s="51" t="s">
        <v>128</v>
      </c>
      <c r="P32" s="16"/>
      <c r="Q32" s="17"/>
      <c r="R32" s="51" t="s">
        <v>129</v>
      </c>
      <c r="S32" s="17"/>
      <c r="T32" s="51" t="s">
        <v>130</v>
      </c>
      <c r="U32" s="17"/>
      <c r="V32" s="51" t="s">
        <v>131</v>
      </c>
      <c r="W32" s="17"/>
      <c r="X32" s="51" t="s">
        <v>132</v>
      </c>
      <c r="Y32" s="17"/>
    </row>
    <row r="33" ht="31.5" customHeight="1">
      <c r="A33" s="5">
        <v>1.0</v>
      </c>
      <c r="B33" s="56" t="s">
        <v>133</v>
      </c>
      <c r="C33" s="57" t="s">
        <v>134</v>
      </c>
      <c r="D33" s="16"/>
      <c r="E33" s="16"/>
      <c r="F33" s="17"/>
      <c r="G33" s="58" t="s">
        <v>135</v>
      </c>
      <c r="H33" s="16"/>
      <c r="I33" s="16"/>
      <c r="J33" s="17"/>
      <c r="K33" s="59">
        <v>15.0</v>
      </c>
      <c r="L33" s="16"/>
      <c r="M33" s="16"/>
      <c r="N33" s="17"/>
      <c r="O33" s="59" t="s">
        <v>136</v>
      </c>
      <c r="P33" s="16"/>
      <c r="Q33" s="17"/>
      <c r="R33" s="60" t="s">
        <v>137</v>
      </c>
      <c r="S33" s="17"/>
      <c r="T33" s="61"/>
      <c r="U33" s="17"/>
      <c r="V33" s="61"/>
      <c r="W33" s="17"/>
      <c r="X33" s="61"/>
      <c r="Y33" s="17"/>
    </row>
    <row r="34" ht="26.25" customHeight="1">
      <c r="A34" s="5">
        <v>2.0</v>
      </c>
      <c r="B34" s="56" t="s">
        <v>138</v>
      </c>
      <c r="C34" s="57" t="s">
        <v>139</v>
      </c>
      <c r="D34" s="16"/>
      <c r="E34" s="16"/>
      <c r="F34" s="17"/>
      <c r="G34" s="62" t="s">
        <v>110</v>
      </c>
      <c r="H34" s="16"/>
      <c r="I34" s="16"/>
      <c r="J34" s="17"/>
      <c r="K34" s="59">
        <v>50.0</v>
      </c>
      <c r="L34" s="16"/>
      <c r="M34" s="16"/>
      <c r="N34" s="17"/>
      <c r="O34" s="59" t="s">
        <v>136</v>
      </c>
      <c r="P34" s="16"/>
      <c r="Q34" s="17"/>
      <c r="R34" s="61"/>
      <c r="S34" s="17"/>
      <c r="T34" s="61"/>
      <c r="U34" s="17"/>
      <c r="V34" s="61"/>
      <c r="W34" s="17"/>
      <c r="X34" s="61"/>
      <c r="Y34" s="17"/>
    </row>
    <row r="35" ht="26.25" customHeight="1">
      <c r="A35" s="5">
        <v>3.0</v>
      </c>
      <c r="B35" s="56" t="s">
        <v>140</v>
      </c>
      <c r="C35" s="57" t="s">
        <v>141</v>
      </c>
      <c r="D35" s="16"/>
      <c r="E35" s="16"/>
      <c r="F35" s="17"/>
      <c r="G35" s="62" t="s">
        <v>110</v>
      </c>
      <c r="H35" s="16"/>
      <c r="I35" s="16"/>
      <c r="J35" s="17"/>
      <c r="K35" s="59">
        <v>50.0</v>
      </c>
      <c r="L35" s="16"/>
      <c r="M35" s="16"/>
      <c r="N35" s="17"/>
      <c r="O35" s="59" t="s">
        <v>142</v>
      </c>
      <c r="P35" s="16"/>
      <c r="Q35" s="17"/>
      <c r="R35" s="61"/>
      <c r="S35" s="17"/>
      <c r="T35" s="61"/>
      <c r="U35" s="17"/>
      <c r="V35" s="61"/>
      <c r="W35" s="17"/>
      <c r="X35" s="61"/>
      <c r="Y35" s="17"/>
    </row>
    <row r="36" ht="26.25" customHeight="1">
      <c r="A36" s="5">
        <v>4.0</v>
      </c>
      <c r="B36" s="56" t="s">
        <v>143</v>
      </c>
      <c r="C36" s="57" t="s">
        <v>144</v>
      </c>
      <c r="D36" s="16"/>
      <c r="E36" s="16"/>
      <c r="F36" s="17"/>
      <c r="G36" s="62" t="s">
        <v>110</v>
      </c>
      <c r="H36" s="16"/>
      <c r="I36" s="16"/>
      <c r="J36" s="17"/>
      <c r="K36" s="59">
        <v>50.0</v>
      </c>
      <c r="L36" s="16"/>
      <c r="M36" s="16"/>
      <c r="N36" s="17"/>
      <c r="O36" s="59" t="s">
        <v>136</v>
      </c>
      <c r="P36" s="16"/>
      <c r="Q36" s="17"/>
      <c r="R36" s="61"/>
      <c r="S36" s="17"/>
      <c r="T36" s="61"/>
      <c r="U36" s="17"/>
      <c r="V36" s="61"/>
      <c r="W36" s="17"/>
      <c r="X36" s="61"/>
      <c r="Y36" s="17"/>
    </row>
    <row r="37" ht="26.25" customHeight="1">
      <c r="A37" s="5">
        <v>5.0</v>
      </c>
      <c r="B37" s="56" t="s">
        <v>145</v>
      </c>
      <c r="C37" s="57" t="s">
        <v>146</v>
      </c>
      <c r="D37" s="16"/>
      <c r="E37" s="16"/>
      <c r="F37" s="17"/>
      <c r="G37" s="62" t="s">
        <v>110</v>
      </c>
      <c r="H37" s="16"/>
      <c r="I37" s="16"/>
      <c r="J37" s="17"/>
      <c r="K37" s="59">
        <v>50.0</v>
      </c>
      <c r="L37" s="16"/>
      <c r="M37" s="16"/>
      <c r="N37" s="17"/>
      <c r="O37" s="59" t="s">
        <v>142</v>
      </c>
      <c r="P37" s="16"/>
      <c r="Q37" s="17"/>
      <c r="R37" s="61"/>
      <c r="S37" s="17"/>
      <c r="T37" s="61"/>
      <c r="U37" s="17"/>
      <c r="V37" s="61"/>
      <c r="W37" s="17"/>
      <c r="X37" s="61"/>
      <c r="Y37" s="17"/>
    </row>
    <row r="38" ht="30.0" customHeight="1">
      <c r="A38" s="63">
        <v>6.0</v>
      </c>
      <c r="B38" s="56" t="s">
        <v>147</v>
      </c>
      <c r="C38" s="57" t="s">
        <v>148</v>
      </c>
      <c r="D38" s="16"/>
      <c r="E38" s="16"/>
      <c r="F38" s="17"/>
      <c r="G38" s="62" t="s">
        <v>110</v>
      </c>
      <c r="H38" s="16"/>
      <c r="I38" s="16"/>
      <c r="J38" s="17"/>
      <c r="K38" s="59">
        <v>100.0</v>
      </c>
      <c r="L38" s="16"/>
      <c r="M38" s="16"/>
      <c r="N38" s="17"/>
      <c r="O38" s="59" t="s">
        <v>142</v>
      </c>
      <c r="P38" s="16"/>
      <c r="Q38" s="17"/>
      <c r="R38" s="61"/>
      <c r="S38" s="17"/>
      <c r="T38" s="61"/>
      <c r="U38" s="17"/>
      <c r="V38" s="61"/>
      <c r="W38" s="17"/>
      <c r="X38" s="61"/>
      <c r="Y38" s="17"/>
    </row>
    <row r="39" ht="30.0" customHeight="1">
      <c r="A39" s="63">
        <v>7.0</v>
      </c>
      <c r="B39" s="56" t="s">
        <v>149</v>
      </c>
      <c r="C39" s="57" t="s">
        <v>150</v>
      </c>
      <c r="D39" s="16"/>
      <c r="E39" s="16"/>
      <c r="F39" s="17"/>
      <c r="G39" s="62" t="s">
        <v>110</v>
      </c>
      <c r="H39" s="16"/>
      <c r="I39" s="16"/>
      <c r="J39" s="17"/>
      <c r="K39" s="59">
        <v>100.0</v>
      </c>
      <c r="L39" s="16"/>
      <c r="M39" s="16"/>
      <c r="N39" s="17"/>
      <c r="O39" s="62" t="s">
        <v>136</v>
      </c>
      <c r="P39" s="16"/>
      <c r="Q39" s="17"/>
      <c r="R39" s="61"/>
      <c r="S39" s="17"/>
      <c r="T39" s="61"/>
      <c r="U39" s="17"/>
      <c r="V39" s="60" t="s">
        <v>137</v>
      </c>
      <c r="W39" s="17"/>
      <c r="X39" s="61"/>
      <c r="Y39" s="17"/>
    </row>
    <row r="40" ht="28.5" customHeight="1">
      <c r="A40" s="63">
        <v>8.0</v>
      </c>
      <c r="B40" s="56" t="s">
        <v>151</v>
      </c>
      <c r="C40" s="57" t="s">
        <v>152</v>
      </c>
      <c r="D40" s="16"/>
      <c r="E40" s="16"/>
      <c r="F40" s="17"/>
      <c r="G40" s="62" t="s">
        <v>110</v>
      </c>
      <c r="H40" s="16"/>
      <c r="I40" s="16"/>
      <c r="J40" s="17"/>
      <c r="K40" s="62">
        <v>15.0</v>
      </c>
      <c r="L40" s="16"/>
      <c r="M40" s="16"/>
      <c r="N40" s="17"/>
      <c r="O40" s="59" t="s">
        <v>136</v>
      </c>
      <c r="P40" s="16"/>
      <c r="Q40" s="17"/>
      <c r="R40" s="61"/>
      <c r="S40" s="17"/>
      <c r="T40" s="61"/>
      <c r="U40" s="17"/>
      <c r="V40" s="61"/>
      <c r="W40" s="17"/>
      <c r="X40" s="61"/>
      <c r="Y40" s="17"/>
    </row>
    <row r="41" ht="36.0" customHeight="1">
      <c r="A41" s="64">
        <v>9.0</v>
      </c>
      <c r="B41" s="65" t="s">
        <v>153</v>
      </c>
      <c r="C41" s="66" t="s">
        <v>154</v>
      </c>
      <c r="D41" s="16"/>
      <c r="E41" s="16"/>
      <c r="F41" s="17"/>
      <c r="G41" s="62" t="s">
        <v>110</v>
      </c>
      <c r="H41" s="16"/>
      <c r="I41" s="16"/>
      <c r="J41" s="17"/>
      <c r="K41" s="67">
        <v>30.0</v>
      </c>
      <c r="L41" s="16"/>
      <c r="M41" s="16"/>
      <c r="N41" s="17"/>
      <c r="O41" s="67" t="s">
        <v>136</v>
      </c>
      <c r="P41" s="16"/>
      <c r="Q41" s="17"/>
      <c r="R41" s="68"/>
      <c r="S41" s="17"/>
      <c r="T41" s="68"/>
      <c r="U41" s="17"/>
      <c r="V41" s="69" t="s">
        <v>137</v>
      </c>
      <c r="W41" s="17"/>
      <c r="X41" s="68"/>
      <c r="Y41" s="17"/>
    </row>
    <row r="42" ht="36.0" customHeight="1">
      <c r="A42" s="19">
        <v>10.0</v>
      </c>
      <c r="B42" s="65" t="s">
        <v>155</v>
      </c>
      <c r="C42" s="66" t="s">
        <v>156</v>
      </c>
      <c r="D42" s="16"/>
      <c r="E42" s="16"/>
      <c r="F42" s="17"/>
      <c r="G42" s="62" t="s">
        <v>157</v>
      </c>
      <c r="H42" s="16"/>
      <c r="I42" s="16"/>
      <c r="J42" s="17"/>
      <c r="K42" s="67">
        <v>6.0</v>
      </c>
      <c r="L42" s="16"/>
      <c r="M42" s="16"/>
      <c r="N42" s="17"/>
      <c r="O42" s="67" t="s">
        <v>136</v>
      </c>
      <c r="P42" s="16"/>
      <c r="Q42" s="17"/>
      <c r="R42" s="68"/>
      <c r="S42" s="17"/>
      <c r="T42" s="69" t="s">
        <v>137</v>
      </c>
      <c r="U42" s="17"/>
      <c r="V42" s="68"/>
      <c r="W42" s="17"/>
      <c r="X42" s="68"/>
      <c r="Y42" s="17"/>
    </row>
    <row r="43" ht="36.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36.0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36.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36.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37.5" customHeight="1">
      <c r="A47" s="50">
        <v>2.0</v>
      </c>
      <c r="B47" s="51" t="s">
        <v>2</v>
      </c>
      <c r="C47" s="52" t="str">
        <f>B5</f>
        <v>rol</v>
      </c>
      <c r="D47" s="16"/>
      <c r="E47" s="16"/>
      <c r="F47" s="17"/>
      <c r="G47" s="51" t="s">
        <v>3</v>
      </c>
      <c r="H47" s="16"/>
      <c r="I47" s="16"/>
      <c r="J47" s="17"/>
      <c r="K47" s="53" t="str">
        <f>F5</f>
        <v>rol del usuario dentro de la red social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  <c r="X47" s="54" t="s">
        <v>123</v>
      </c>
      <c r="Y47" s="55">
        <v>46023.0</v>
      </c>
    </row>
    <row r="48" ht="47.25" customHeight="1">
      <c r="A48" s="54" t="s">
        <v>1</v>
      </c>
      <c r="B48" s="54" t="s">
        <v>124</v>
      </c>
      <c r="C48" s="51" t="s">
        <v>125</v>
      </c>
      <c r="D48" s="16"/>
      <c r="E48" s="16"/>
      <c r="F48" s="17"/>
      <c r="G48" s="51" t="s">
        <v>158</v>
      </c>
      <c r="H48" s="16"/>
      <c r="I48" s="16"/>
      <c r="J48" s="17"/>
      <c r="K48" s="51" t="s">
        <v>127</v>
      </c>
      <c r="L48" s="16"/>
      <c r="M48" s="16"/>
      <c r="N48" s="17"/>
      <c r="O48" s="51" t="s">
        <v>128</v>
      </c>
      <c r="P48" s="16"/>
      <c r="Q48" s="17"/>
      <c r="R48" s="51" t="s">
        <v>129</v>
      </c>
      <c r="S48" s="17"/>
      <c r="T48" s="51" t="s">
        <v>130</v>
      </c>
      <c r="U48" s="17"/>
      <c r="V48" s="51" t="s">
        <v>131</v>
      </c>
      <c r="W48" s="17"/>
      <c r="X48" s="51" t="s">
        <v>132</v>
      </c>
      <c r="Y48" s="17"/>
    </row>
    <row r="49" ht="26.25" customHeight="1">
      <c r="A49" s="18">
        <v>1.0</v>
      </c>
      <c r="B49" s="56" t="s">
        <v>155</v>
      </c>
      <c r="C49" s="57" t="s">
        <v>156</v>
      </c>
      <c r="D49" s="16"/>
      <c r="E49" s="16"/>
      <c r="F49" s="17"/>
      <c r="G49" s="62" t="s">
        <v>59</v>
      </c>
      <c r="H49" s="16"/>
      <c r="I49" s="16"/>
      <c r="J49" s="17"/>
      <c r="K49" s="59">
        <v>6.0</v>
      </c>
      <c r="L49" s="16"/>
      <c r="M49" s="16"/>
      <c r="N49" s="17"/>
      <c r="O49" s="59" t="s">
        <v>136</v>
      </c>
      <c r="P49" s="16"/>
      <c r="Q49" s="17"/>
      <c r="R49" s="60" t="s">
        <v>137</v>
      </c>
      <c r="S49" s="17"/>
      <c r="T49" s="61"/>
      <c r="U49" s="17"/>
      <c r="V49" s="61"/>
      <c r="W49" s="17"/>
      <c r="X49" s="61"/>
      <c r="Y49" s="17"/>
    </row>
    <row r="50" ht="26.25" customHeight="1">
      <c r="A50" s="18">
        <v>2.0</v>
      </c>
      <c r="B50" s="56" t="s">
        <v>159</v>
      </c>
      <c r="C50" s="57" t="s">
        <v>160</v>
      </c>
      <c r="D50" s="16"/>
      <c r="E50" s="16"/>
      <c r="F50" s="17"/>
      <c r="G50" s="62" t="s">
        <v>110</v>
      </c>
      <c r="H50" s="16"/>
      <c r="I50" s="16"/>
      <c r="J50" s="17"/>
      <c r="K50" s="59">
        <v>20.0</v>
      </c>
      <c r="L50" s="16"/>
      <c r="M50" s="16"/>
      <c r="N50" s="17"/>
      <c r="O50" s="59" t="s">
        <v>136</v>
      </c>
      <c r="P50" s="16"/>
      <c r="Q50" s="17"/>
      <c r="R50" s="61"/>
      <c r="S50" s="17"/>
      <c r="T50" s="61"/>
      <c r="U50" s="17"/>
      <c r="V50" s="61"/>
      <c r="W50" s="17"/>
      <c r="X50" s="61"/>
      <c r="Y50" s="17"/>
    </row>
    <row r="51" ht="26.25" customHeight="1">
      <c r="A51" s="70"/>
      <c r="B51" s="71"/>
      <c r="C51" s="71"/>
      <c r="G51" s="71"/>
      <c r="K51" s="71"/>
      <c r="O51" s="71"/>
      <c r="R51" s="71"/>
      <c r="T51" s="71"/>
      <c r="V51" s="71"/>
      <c r="X51" s="71"/>
    </row>
    <row r="52" ht="36.0" customHeight="1">
      <c r="A52" s="72">
        <v>3.0</v>
      </c>
      <c r="B52" s="51" t="s">
        <v>2</v>
      </c>
      <c r="C52" s="73" t="s">
        <v>9</v>
      </c>
      <c r="D52" s="16"/>
      <c r="E52" s="16"/>
      <c r="F52" s="17"/>
      <c r="G52" s="51" t="s">
        <v>3</v>
      </c>
      <c r="H52" s="16"/>
      <c r="I52" s="16"/>
      <c r="J52" s="17"/>
      <c r="K52" s="74" t="s">
        <v>10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  <c r="X52" s="54" t="s">
        <v>123</v>
      </c>
      <c r="Y52" s="55">
        <v>46023.0</v>
      </c>
    </row>
    <row r="53" ht="36.0" customHeight="1">
      <c r="A53" s="54" t="s">
        <v>1</v>
      </c>
      <c r="B53" s="54" t="s">
        <v>124</v>
      </c>
      <c r="C53" s="51" t="s">
        <v>125</v>
      </c>
      <c r="D53" s="16"/>
      <c r="E53" s="16"/>
      <c r="F53" s="17"/>
      <c r="G53" s="51" t="s">
        <v>158</v>
      </c>
      <c r="H53" s="16"/>
      <c r="I53" s="16"/>
      <c r="J53" s="17"/>
      <c r="K53" s="51" t="s">
        <v>127</v>
      </c>
      <c r="L53" s="16"/>
      <c r="M53" s="16"/>
      <c r="N53" s="17"/>
      <c r="O53" s="51" t="s">
        <v>128</v>
      </c>
      <c r="P53" s="16"/>
      <c r="Q53" s="17"/>
      <c r="R53" s="51" t="s">
        <v>129</v>
      </c>
      <c r="S53" s="17"/>
      <c r="T53" s="51" t="s">
        <v>130</v>
      </c>
      <c r="U53" s="17"/>
      <c r="V53" s="51" t="s">
        <v>131</v>
      </c>
      <c r="W53" s="17"/>
      <c r="X53" s="51" t="s">
        <v>132</v>
      </c>
      <c r="Y53" s="17"/>
    </row>
    <row r="54" ht="36.0" customHeight="1">
      <c r="A54" s="18">
        <v>1.0</v>
      </c>
      <c r="B54" s="56" t="s">
        <v>161</v>
      </c>
      <c r="C54" s="57" t="s">
        <v>162</v>
      </c>
      <c r="D54" s="16"/>
      <c r="E54" s="16"/>
      <c r="F54" s="17"/>
      <c r="G54" s="62" t="s">
        <v>59</v>
      </c>
      <c r="H54" s="16"/>
      <c r="I54" s="16"/>
      <c r="J54" s="17"/>
      <c r="K54" s="59">
        <v>5.0</v>
      </c>
      <c r="L54" s="16"/>
      <c r="M54" s="16"/>
      <c r="N54" s="17"/>
      <c r="O54" s="59" t="s">
        <v>136</v>
      </c>
      <c r="P54" s="16"/>
      <c r="Q54" s="17"/>
      <c r="R54" s="60" t="s">
        <v>137</v>
      </c>
      <c r="S54" s="17"/>
      <c r="T54" s="61"/>
      <c r="U54" s="17"/>
      <c r="V54" s="61"/>
      <c r="W54" s="17"/>
      <c r="X54" s="57" t="s">
        <v>163</v>
      </c>
      <c r="Y54" s="17"/>
    </row>
    <row r="55" ht="45.0" customHeight="1">
      <c r="A55" s="18">
        <v>2.0</v>
      </c>
      <c r="B55" s="56" t="s">
        <v>164</v>
      </c>
      <c r="C55" s="75" t="s">
        <v>165</v>
      </c>
      <c r="D55" s="16"/>
      <c r="E55" s="16"/>
      <c r="F55" s="17"/>
      <c r="G55" s="62" t="s">
        <v>110</v>
      </c>
      <c r="H55" s="16"/>
      <c r="I55" s="16"/>
      <c r="J55" s="17"/>
      <c r="K55" s="59">
        <v>20.0</v>
      </c>
      <c r="L55" s="16"/>
      <c r="M55" s="16"/>
      <c r="N55" s="17"/>
      <c r="O55" s="59" t="s">
        <v>136</v>
      </c>
      <c r="P55" s="16"/>
      <c r="Q55" s="17"/>
      <c r="R55" s="61"/>
      <c r="S55" s="17"/>
      <c r="T55" s="61"/>
      <c r="U55" s="17"/>
      <c r="V55" s="61"/>
      <c r="W55" s="17"/>
      <c r="X55" s="61"/>
      <c r="Y55" s="17"/>
    </row>
    <row r="56" ht="21.0" customHeight="1">
      <c r="A56" s="70"/>
      <c r="B56" s="71"/>
      <c r="C56" s="71"/>
      <c r="G56" s="71"/>
      <c r="K56" s="71"/>
      <c r="O56" s="71"/>
      <c r="R56" s="71"/>
      <c r="T56" s="71"/>
      <c r="V56" s="71"/>
      <c r="X56" s="71"/>
    </row>
    <row r="57" ht="33.0" customHeight="1">
      <c r="A57" s="72">
        <v>4.0</v>
      </c>
      <c r="B57" s="76" t="s">
        <v>2</v>
      </c>
      <c r="C57" s="69" t="s">
        <v>11</v>
      </c>
      <c r="D57" s="16"/>
      <c r="E57" s="16"/>
      <c r="F57" s="17"/>
      <c r="G57" s="76" t="s">
        <v>3</v>
      </c>
      <c r="H57" s="16"/>
      <c r="I57" s="16"/>
      <c r="J57" s="17"/>
      <c r="K57" s="77" t="s">
        <v>12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7"/>
      <c r="X57" s="78" t="s">
        <v>123</v>
      </c>
      <c r="Y57" s="55">
        <v>46023.0</v>
      </c>
    </row>
    <row r="58" ht="33.0" customHeight="1">
      <c r="A58" s="78" t="s">
        <v>1</v>
      </c>
      <c r="B58" s="78" t="s">
        <v>124</v>
      </c>
      <c r="C58" s="76" t="s">
        <v>125</v>
      </c>
      <c r="D58" s="16"/>
      <c r="E58" s="16"/>
      <c r="F58" s="17"/>
      <c r="G58" s="79" t="s">
        <v>158</v>
      </c>
      <c r="H58" s="16"/>
      <c r="I58" s="16"/>
      <c r="J58" s="17"/>
      <c r="K58" s="76" t="s">
        <v>127</v>
      </c>
      <c r="L58" s="16"/>
      <c r="M58" s="16"/>
      <c r="N58" s="17"/>
      <c r="O58" s="76" t="s">
        <v>128</v>
      </c>
      <c r="P58" s="16"/>
      <c r="Q58" s="17"/>
      <c r="R58" s="76" t="s">
        <v>129</v>
      </c>
      <c r="S58" s="17"/>
      <c r="T58" s="76" t="s">
        <v>130</v>
      </c>
      <c r="U58" s="17"/>
      <c r="V58" s="76" t="s">
        <v>131</v>
      </c>
      <c r="W58" s="17"/>
      <c r="X58" s="76" t="s">
        <v>132</v>
      </c>
      <c r="Y58" s="17"/>
    </row>
    <row r="59" ht="44.25" customHeight="1">
      <c r="A59" s="80">
        <v>1.0</v>
      </c>
      <c r="B59" s="65" t="s">
        <v>133</v>
      </c>
      <c r="C59" s="66" t="s">
        <v>166</v>
      </c>
      <c r="D59" s="16"/>
      <c r="E59" s="16"/>
      <c r="F59" s="17"/>
      <c r="G59" s="58" t="s">
        <v>135</v>
      </c>
      <c r="H59" s="16"/>
      <c r="I59" s="16"/>
      <c r="J59" s="17"/>
      <c r="K59" s="67">
        <v>15.0</v>
      </c>
      <c r="L59" s="16"/>
      <c r="M59" s="16"/>
      <c r="N59" s="17"/>
      <c r="O59" s="67" t="s">
        <v>136</v>
      </c>
      <c r="P59" s="16"/>
      <c r="Q59" s="17"/>
      <c r="R59" s="69"/>
      <c r="S59" s="17"/>
      <c r="T59" s="81" t="s">
        <v>137</v>
      </c>
      <c r="U59" s="17"/>
      <c r="V59" s="68"/>
      <c r="W59" s="17"/>
      <c r="X59" s="68"/>
      <c r="Y59" s="17"/>
    </row>
    <row r="60" ht="33.0" customHeight="1">
      <c r="A60" s="80">
        <v>2.0</v>
      </c>
      <c r="B60" s="65" t="s">
        <v>167</v>
      </c>
      <c r="C60" s="66" t="s">
        <v>168</v>
      </c>
      <c r="D60" s="16"/>
      <c r="E60" s="16"/>
      <c r="F60" s="17"/>
      <c r="G60" s="62" t="s">
        <v>110</v>
      </c>
      <c r="H60" s="16"/>
      <c r="I60" s="16"/>
      <c r="J60" s="17"/>
      <c r="K60" s="67">
        <v>100.0</v>
      </c>
      <c r="L60" s="16"/>
      <c r="M60" s="16"/>
      <c r="N60" s="17"/>
      <c r="O60" s="67" t="s">
        <v>142</v>
      </c>
      <c r="P60" s="16"/>
      <c r="Q60" s="17"/>
      <c r="R60" s="68"/>
      <c r="S60" s="17"/>
      <c r="T60" s="68"/>
      <c r="U60" s="17"/>
      <c r="V60" s="68"/>
      <c r="W60" s="17"/>
      <c r="X60" s="68"/>
      <c r="Y60" s="17"/>
    </row>
    <row r="61" ht="33.0" customHeight="1">
      <c r="A61" s="80">
        <v>3.0</v>
      </c>
      <c r="B61" s="65" t="s">
        <v>169</v>
      </c>
      <c r="C61" s="66" t="s">
        <v>170</v>
      </c>
      <c r="D61" s="16"/>
      <c r="E61" s="16"/>
      <c r="F61" s="17"/>
      <c r="G61" s="62" t="s">
        <v>110</v>
      </c>
      <c r="H61" s="16"/>
      <c r="I61" s="16"/>
      <c r="J61" s="17"/>
      <c r="K61" s="67">
        <v>300.0</v>
      </c>
      <c r="L61" s="16"/>
      <c r="M61" s="16"/>
      <c r="N61" s="17"/>
      <c r="O61" s="67" t="s">
        <v>142</v>
      </c>
      <c r="P61" s="16"/>
      <c r="Q61" s="17"/>
      <c r="R61" s="68"/>
      <c r="S61" s="17"/>
      <c r="T61" s="68"/>
      <c r="U61" s="17"/>
      <c r="V61" s="68"/>
      <c r="W61" s="17"/>
      <c r="X61" s="68"/>
      <c r="Y61" s="17"/>
    </row>
    <row r="62" ht="33.0" customHeight="1">
      <c r="A62" s="82"/>
      <c r="B62" s="83"/>
      <c r="C62" s="83"/>
      <c r="G62" s="83"/>
      <c r="K62" s="83"/>
      <c r="O62" s="83"/>
      <c r="R62" s="83"/>
      <c r="T62" s="83"/>
      <c r="V62" s="83"/>
      <c r="X62" s="83"/>
    </row>
    <row r="63" ht="33.0" customHeight="1">
      <c r="A63" s="72">
        <v>5.0</v>
      </c>
      <c r="B63" s="76" t="s">
        <v>2</v>
      </c>
      <c r="C63" s="73" t="s">
        <v>13</v>
      </c>
      <c r="D63" s="16"/>
      <c r="E63" s="16"/>
      <c r="F63" s="17"/>
      <c r="G63" s="76" t="s">
        <v>3</v>
      </c>
      <c r="H63" s="16"/>
      <c r="I63" s="16"/>
      <c r="J63" s="17"/>
      <c r="K63" s="84" t="s">
        <v>171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  <c r="X63" s="78" t="s">
        <v>123</v>
      </c>
      <c r="Y63" s="55">
        <v>46023.0</v>
      </c>
    </row>
    <row r="64" ht="33.0" customHeight="1">
      <c r="A64" s="78" t="s">
        <v>1</v>
      </c>
      <c r="B64" s="78" t="s">
        <v>124</v>
      </c>
      <c r="C64" s="76" t="s">
        <v>125</v>
      </c>
      <c r="D64" s="16"/>
      <c r="E64" s="16"/>
      <c r="F64" s="17"/>
      <c r="G64" s="76" t="s">
        <v>158</v>
      </c>
      <c r="H64" s="16"/>
      <c r="I64" s="16"/>
      <c r="J64" s="17"/>
      <c r="K64" s="76" t="s">
        <v>127</v>
      </c>
      <c r="L64" s="16"/>
      <c r="M64" s="16"/>
      <c r="N64" s="17"/>
      <c r="O64" s="76" t="s">
        <v>128</v>
      </c>
      <c r="P64" s="16"/>
      <c r="Q64" s="17"/>
      <c r="R64" s="76" t="s">
        <v>129</v>
      </c>
      <c r="S64" s="17"/>
      <c r="T64" s="76" t="s">
        <v>130</v>
      </c>
      <c r="U64" s="17"/>
      <c r="V64" s="76" t="s">
        <v>131</v>
      </c>
      <c r="W64" s="17"/>
      <c r="X64" s="76" t="s">
        <v>132</v>
      </c>
      <c r="Y64" s="17"/>
    </row>
    <row r="65" ht="33.0" customHeight="1">
      <c r="A65" s="80">
        <v>1.0</v>
      </c>
      <c r="B65" s="65" t="s">
        <v>172</v>
      </c>
      <c r="C65" s="66" t="s">
        <v>173</v>
      </c>
      <c r="D65" s="16"/>
      <c r="E65" s="16"/>
      <c r="F65" s="17"/>
      <c r="G65" s="62" t="s">
        <v>59</v>
      </c>
      <c r="H65" s="16"/>
      <c r="I65" s="16"/>
      <c r="J65" s="17"/>
      <c r="K65" s="67">
        <v>200.0</v>
      </c>
      <c r="L65" s="16"/>
      <c r="M65" s="16"/>
      <c r="N65" s="17"/>
      <c r="O65" s="67" t="s">
        <v>136</v>
      </c>
      <c r="P65" s="16"/>
      <c r="Q65" s="17"/>
      <c r="R65" s="69" t="s">
        <v>137</v>
      </c>
      <c r="S65" s="17"/>
      <c r="T65" s="68"/>
      <c r="U65" s="17"/>
      <c r="V65" s="68"/>
      <c r="W65" s="17"/>
      <c r="X65" s="68"/>
      <c r="Y65" s="17"/>
    </row>
    <row r="66" ht="33.0" customHeight="1">
      <c r="A66" s="80">
        <v>2.0</v>
      </c>
      <c r="B66" s="65" t="s">
        <v>174</v>
      </c>
      <c r="C66" s="66" t="s">
        <v>175</v>
      </c>
      <c r="D66" s="16"/>
      <c r="E66" s="16"/>
      <c r="F66" s="17"/>
      <c r="G66" s="62" t="s">
        <v>110</v>
      </c>
      <c r="H66" s="16"/>
      <c r="I66" s="16"/>
      <c r="J66" s="17"/>
      <c r="K66" s="67">
        <v>50.0</v>
      </c>
      <c r="L66" s="16"/>
      <c r="M66" s="16"/>
      <c r="N66" s="17"/>
      <c r="O66" s="67" t="s">
        <v>142</v>
      </c>
      <c r="P66" s="16"/>
      <c r="Q66" s="17"/>
      <c r="R66" s="68"/>
      <c r="S66" s="17"/>
      <c r="T66" s="68"/>
      <c r="U66" s="17"/>
      <c r="V66" s="68"/>
      <c r="W66" s="17"/>
      <c r="X66" s="68"/>
      <c r="Y66" s="17"/>
    </row>
    <row r="67" ht="42.75" customHeight="1">
      <c r="A67" s="80">
        <v>3.0</v>
      </c>
      <c r="B67" s="65" t="s">
        <v>176</v>
      </c>
      <c r="C67" s="66" t="s">
        <v>177</v>
      </c>
      <c r="D67" s="16"/>
      <c r="E67" s="16"/>
      <c r="F67" s="17"/>
      <c r="G67" s="62" t="s">
        <v>110</v>
      </c>
      <c r="H67" s="16"/>
      <c r="I67" s="16"/>
      <c r="J67" s="17"/>
      <c r="K67" s="67">
        <v>300.0</v>
      </c>
      <c r="L67" s="16"/>
      <c r="M67" s="16"/>
      <c r="N67" s="17"/>
      <c r="O67" s="67" t="s">
        <v>136</v>
      </c>
      <c r="P67" s="16"/>
      <c r="Q67" s="17"/>
      <c r="R67" s="68"/>
      <c r="S67" s="17"/>
      <c r="T67" s="68"/>
      <c r="U67" s="17"/>
      <c r="V67" s="68"/>
      <c r="W67" s="17"/>
      <c r="X67" s="68"/>
      <c r="Y67" s="17"/>
    </row>
    <row r="68" ht="33.0" customHeight="1">
      <c r="A68" s="80">
        <v>4.0</v>
      </c>
      <c r="B68" s="65" t="s">
        <v>133</v>
      </c>
      <c r="C68" s="66" t="s">
        <v>134</v>
      </c>
      <c r="D68" s="16"/>
      <c r="E68" s="16"/>
      <c r="F68" s="17"/>
      <c r="G68" s="58" t="s">
        <v>135</v>
      </c>
      <c r="H68" s="16"/>
      <c r="I68" s="16"/>
      <c r="J68" s="17"/>
      <c r="K68" s="67">
        <v>15.0</v>
      </c>
      <c r="L68" s="16"/>
      <c r="M68" s="16"/>
      <c r="N68" s="17"/>
      <c r="O68" s="67" t="s">
        <v>136</v>
      </c>
      <c r="P68" s="16"/>
      <c r="Q68" s="17"/>
      <c r="R68" s="68"/>
      <c r="S68" s="17"/>
      <c r="T68" s="69" t="s">
        <v>137</v>
      </c>
      <c r="U68" s="17"/>
      <c r="V68" s="68"/>
      <c r="W68" s="17"/>
      <c r="X68" s="68"/>
      <c r="Y68" s="17"/>
    </row>
    <row r="69" ht="33.0" customHeight="1">
      <c r="A69" s="80">
        <v>5.0</v>
      </c>
      <c r="B69" s="65" t="s">
        <v>178</v>
      </c>
      <c r="C69" s="66" t="s">
        <v>179</v>
      </c>
      <c r="D69" s="16"/>
      <c r="E69" s="16"/>
      <c r="F69" s="17"/>
      <c r="G69" s="62" t="s">
        <v>92</v>
      </c>
      <c r="H69" s="16"/>
      <c r="I69" s="16"/>
      <c r="J69" s="17"/>
      <c r="K69" s="67">
        <v>10.0</v>
      </c>
      <c r="L69" s="16"/>
      <c r="M69" s="16"/>
      <c r="N69" s="17"/>
      <c r="O69" s="67" t="s">
        <v>136</v>
      </c>
      <c r="P69" s="16"/>
      <c r="Q69" s="17"/>
      <c r="R69" s="68"/>
      <c r="S69" s="17"/>
      <c r="T69" s="68"/>
      <c r="U69" s="17"/>
      <c r="V69" s="68"/>
      <c r="W69" s="17"/>
      <c r="X69" s="68"/>
      <c r="Y69" s="17"/>
    </row>
    <row r="70" ht="33.0" customHeight="1">
      <c r="A70" s="49"/>
      <c r="B70" s="49"/>
      <c r="C70" s="49"/>
      <c r="D70" s="49"/>
      <c r="E70" s="49"/>
      <c r="F70" s="8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85"/>
      <c r="Y70" s="49"/>
    </row>
    <row r="71" ht="33.0" customHeight="1">
      <c r="A71" s="86">
        <v>6.0</v>
      </c>
      <c r="B71" s="76" t="s">
        <v>2</v>
      </c>
      <c r="C71" s="69" t="s">
        <v>15</v>
      </c>
      <c r="D71" s="16"/>
      <c r="E71" s="16"/>
      <c r="F71" s="17"/>
      <c r="G71" s="76" t="s">
        <v>3</v>
      </c>
      <c r="H71" s="16"/>
      <c r="I71" s="16"/>
      <c r="J71" s="17"/>
      <c r="K71" s="77" t="s">
        <v>16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7"/>
      <c r="X71" s="78" t="s">
        <v>123</v>
      </c>
      <c r="Y71" s="55">
        <v>46023.0</v>
      </c>
    </row>
    <row r="72" ht="33.0" customHeight="1">
      <c r="A72" s="78" t="s">
        <v>1</v>
      </c>
      <c r="B72" s="78" t="s">
        <v>124</v>
      </c>
      <c r="C72" s="76" t="s">
        <v>125</v>
      </c>
      <c r="D72" s="16"/>
      <c r="E72" s="16"/>
      <c r="F72" s="17"/>
      <c r="G72" s="79" t="s">
        <v>158</v>
      </c>
      <c r="H72" s="16"/>
      <c r="I72" s="16"/>
      <c r="J72" s="17"/>
      <c r="K72" s="76" t="s">
        <v>127</v>
      </c>
      <c r="L72" s="16"/>
      <c r="M72" s="16"/>
      <c r="N72" s="17"/>
      <c r="O72" s="76" t="s">
        <v>128</v>
      </c>
      <c r="P72" s="16"/>
      <c r="Q72" s="17"/>
      <c r="R72" s="76" t="s">
        <v>129</v>
      </c>
      <c r="S72" s="17"/>
      <c r="T72" s="76" t="s">
        <v>130</v>
      </c>
      <c r="U72" s="17"/>
      <c r="V72" s="76" t="s">
        <v>131</v>
      </c>
      <c r="W72" s="17"/>
      <c r="X72" s="76" t="s">
        <v>132</v>
      </c>
      <c r="Y72" s="17"/>
    </row>
    <row r="73" ht="33.0" customHeight="1">
      <c r="A73" s="80">
        <v>1.0</v>
      </c>
      <c r="B73" s="65" t="s">
        <v>180</v>
      </c>
      <c r="C73" s="66" t="s">
        <v>181</v>
      </c>
      <c r="D73" s="16"/>
      <c r="E73" s="16"/>
      <c r="F73" s="17"/>
      <c r="G73" s="62" t="s">
        <v>59</v>
      </c>
      <c r="H73" s="16"/>
      <c r="I73" s="16"/>
      <c r="J73" s="17"/>
      <c r="K73" s="67">
        <v>20.0</v>
      </c>
      <c r="L73" s="16"/>
      <c r="M73" s="16"/>
      <c r="N73" s="17"/>
      <c r="O73" s="67" t="s">
        <v>136</v>
      </c>
      <c r="P73" s="16"/>
      <c r="Q73" s="17"/>
      <c r="R73" s="69" t="s">
        <v>137</v>
      </c>
      <c r="S73" s="17"/>
      <c r="T73" s="68"/>
      <c r="U73" s="17"/>
      <c r="V73" s="68"/>
      <c r="W73" s="17"/>
      <c r="X73" s="68"/>
      <c r="Y73" s="17"/>
    </row>
    <row r="74" ht="33.0" customHeight="1">
      <c r="A74" s="80">
        <v>2.0</v>
      </c>
      <c r="B74" s="65" t="s">
        <v>182</v>
      </c>
      <c r="C74" s="66" t="s">
        <v>183</v>
      </c>
      <c r="D74" s="16"/>
      <c r="E74" s="16"/>
      <c r="F74" s="17"/>
      <c r="G74" s="62" t="s">
        <v>110</v>
      </c>
      <c r="H74" s="16"/>
      <c r="I74" s="16"/>
      <c r="J74" s="17"/>
      <c r="K74" s="67">
        <v>250.0</v>
      </c>
      <c r="L74" s="16"/>
      <c r="M74" s="16"/>
      <c r="N74" s="17"/>
      <c r="O74" s="67" t="s">
        <v>136</v>
      </c>
      <c r="P74" s="16"/>
      <c r="Q74" s="17"/>
      <c r="R74" s="68"/>
      <c r="S74" s="17"/>
      <c r="T74" s="68"/>
      <c r="U74" s="17"/>
      <c r="V74" s="68"/>
      <c r="W74" s="17"/>
      <c r="X74" s="68"/>
      <c r="Y74" s="17"/>
    </row>
    <row r="75" ht="33.0" customHeight="1">
      <c r="A75" s="80">
        <v>3.0</v>
      </c>
      <c r="B75" s="65" t="s">
        <v>184</v>
      </c>
      <c r="C75" s="66" t="s">
        <v>179</v>
      </c>
      <c r="D75" s="16"/>
      <c r="E75" s="16"/>
      <c r="F75" s="17"/>
      <c r="G75" s="62" t="s">
        <v>92</v>
      </c>
      <c r="H75" s="16"/>
      <c r="I75" s="16"/>
      <c r="J75" s="17"/>
      <c r="K75" s="67">
        <v>10.0</v>
      </c>
      <c r="L75" s="16"/>
      <c r="M75" s="16"/>
      <c r="N75" s="17"/>
      <c r="O75" s="67" t="s">
        <v>136</v>
      </c>
      <c r="P75" s="16"/>
      <c r="Q75" s="17"/>
      <c r="R75" s="68"/>
      <c r="S75" s="17"/>
      <c r="T75" s="68"/>
      <c r="U75" s="17"/>
      <c r="V75" s="68"/>
      <c r="W75" s="17"/>
      <c r="X75" s="68"/>
      <c r="Y75" s="17"/>
    </row>
    <row r="76" ht="33.0" customHeight="1">
      <c r="A76" s="80">
        <v>4.0</v>
      </c>
      <c r="B76" s="65" t="s">
        <v>185</v>
      </c>
      <c r="C76" s="66" t="s">
        <v>186</v>
      </c>
      <c r="D76" s="16"/>
      <c r="E76" s="16"/>
      <c r="F76" s="17"/>
      <c r="G76" s="62" t="s">
        <v>110</v>
      </c>
      <c r="H76" s="16"/>
      <c r="I76" s="16"/>
      <c r="J76" s="17"/>
      <c r="K76" s="67">
        <v>250.0</v>
      </c>
      <c r="L76" s="16"/>
      <c r="M76" s="16"/>
      <c r="N76" s="17"/>
      <c r="O76" s="67" t="s">
        <v>142</v>
      </c>
      <c r="P76" s="16"/>
      <c r="Q76" s="17"/>
      <c r="R76" s="68"/>
      <c r="S76" s="17"/>
      <c r="T76" s="68"/>
      <c r="U76" s="17"/>
      <c r="V76" s="68"/>
      <c r="W76" s="17"/>
      <c r="X76" s="68"/>
      <c r="Y76" s="17"/>
    </row>
    <row r="77" ht="33.0" customHeight="1">
      <c r="A77" s="80">
        <v>5.0</v>
      </c>
      <c r="B77" s="65" t="s">
        <v>187</v>
      </c>
      <c r="C77" s="66" t="s">
        <v>188</v>
      </c>
      <c r="D77" s="16"/>
      <c r="E77" s="16"/>
      <c r="F77" s="17"/>
      <c r="G77" s="62" t="s">
        <v>110</v>
      </c>
      <c r="H77" s="16"/>
      <c r="I77" s="16"/>
      <c r="J77" s="17"/>
      <c r="K77" s="67">
        <v>250.0</v>
      </c>
      <c r="L77" s="16"/>
      <c r="M77" s="16"/>
      <c r="N77" s="17"/>
      <c r="O77" s="67" t="s">
        <v>142</v>
      </c>
      <c r="P77" s="16"/>
      <c r="Q77" s="17"/>
      <c r="R77" s="68"/>
      <c r="S77" s="17"/>
      <c r="T77" s="68"/>
      <c r="U77" s="17"/>
      <c r="V77" s="68"/>
      <c r="W77" s="17"/>
      <c r="X77" s="68"/>
      <c r="Y77" s="17"/>
    </row>
    <row r="78" ht="33.0" customHeight="1">
      <c r="A78" s="64">
        <v>6.0</v>
      </c>
      <c r="B78" s="65" t="s">
        <v>172</v>
      </c>
      <c r="C78" s="66" t="s">
        <v>173</v>
      </c>
      <c r="D78" s="16"/>
      <c r="E78" s="16"/>
      <c r="F78" s="17"/>
      <c r="G78" s="62" t="s">
        <v>135</v>
      </c>
      <c r="H78" s="16"/>
      <c r="I78" s="16"/>
      <c r="J78" s="17"/>
      <c r="K78" s="87">
        <v>200.0</v>
      </c>
      <c r="L78" s="16"/>
      <c r="M78" s="16"/>
      <c r="N78" s="17"/>
      <c r="O78" s="67" t="s">
        <v>136</v>
      </c>
      <c r="P78" s="16"/>
      <c r="Q78" s="17"/>
      <c r="R78" s="68"/>
      <c r="S78" s="17"/>
      <c r="T78" s="69" t="s">
        <v>137</v>
      </c>
      <c r="U78" s="17"/>
      <c r="V78" s="68"/>
      <c r="W78" s="17"/>
      <c r="X78" s="68"/>
      <c r="Y78" s="17"/>
    </row>
    <row r="79" ht="33.0" customHeight="1">
      <c r="A79" s="64">
        <v>7.0</v>
      </c>
      <c r="B79" s="65" t="s">
        <v>189</v>
      </c>
      <c r="C79" s="66" t="s">
        <v>190</v>
      </c>
      <c r="D79" s="16"/>
      <c r="E79" s="16"/>
      <c r="F79" s="17"/>
      <c r="G79" s="62" t="s">
        <v>135</v>
      </c>
      <c r="H79" s="16"/>
      <c r="I79" s="16"/>
      <c r="J79" s="17"/>
      <c r="K79" s="67">
        <v>200.0</v>
      </c>
      <c r="L79" s="16"/>
      <c r="M79" s="16"/>
      <c r="N79" s="17"/>
      <c r="O79" s="67" t="s">
        <v>136</v>
      </c>
      <c r="P79" s="16"/>
      <c r="Q79" s="17"/>
      <c r="R79" s="68"/>
      <c r="S79" s="17"/>
      <c r="T79" s="69" t="s">
        <v>137</v>
      </c>
      <c r="U79" s="17"/>
      <c r="V79" s="68"/>
      <c r="W79" s="17"/>
      <c r="X79" s="68"/>
      <c r="Y79" s="17"/>
    </row>
    <row r="80" ht="33.0" customHeight="1">
      <c r="A80" s="64">
        <v>8.0</v>
      </c>
      <c r="B80" s="65" t="s">
        <v>133</v>
      </c>
      <c r="C80" s="66" t="s">
        <v>134</v>
      </c>
      <c r="D80" s="16"/>
      <c r="E80" s="16"/>
      <c r="F80" s="17"/>
      <c r="G80" s="58" t="s">
        <v>135</v>
      </c>
      <c r="H80" s="16"/>
      <c r="I80" s="16"/>
      <c r="J80" s="17"/>
      <c r="K80" s="67">
        <v>15.0</v>
      </c>
      <c r="L80" s="16"/>
      <c r="M80" s="16"/>
      <c r="N80" s="17"/>
      <c r="O80" s="67" t="s">
        <v>136</v>
      </c>
      <c r="P80" s="16"/>
      <c r="Q80" s="17"/>
      <c r="R80" s="68"/>
      <c r="S80" s="17"/>
      <c r="T80" s="69" t="s">
        <v>137</v>
      </c>
      <c r="U80" s="17"/>
      <c r="V80" s="68"/>
      <c r="W80" s="17"/>
      <c r="X80" s="68"/>
      <c r="Y80" s="17"/>
    </row>
    <row r="81" ht="33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ht="33.0" customHeight="1">
      <c r="A82" s="86">
        <v>7.0</v>
      </c>
      <c r="B82" s="76" t="s">
        <v>2</v>
      </c>
      <c r="C82" s="69" t="s">
        <v>17</v>
      </c>
      <c r="D82" s="16"/>
      <c r="E82" s="16"/>
      <c r="F82" s="17"/>
      <c r="G82" s="76" t="s">
        <v>3</v>
      </c>
      <c r="H82" s="16"/>
      <c r="I82" s="16"/>
      <c r="J82" s="17"/>
      <c r="K82" s="77" t="s">
        <v>18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7"/>
      <c r="X82" s="78" t="s">
        <v>123</v>
      </c>
      <c r="Y82" s="55">
        <v>46023.0</v>
      </c>
    </row>
    <row r="83" ht="33.0" customHeight="1">
      <c r="A83" s="78" t="s">
        <v>1</v>
      </c>
      <c r="B83" s="78" t="s">
        <v>124</v>
      </c>
      <c r="C83" s="76" t="s">
        <v>125</v>
      </c>
      <c r="D83" s="16"/>
      <c r="E83" s="16"/>
      <c r="F83" s="17"/>
      <c r="G83" s="79" t="s">
        <v>158</v>
      </c>
      <c r="H83" s="16"/>
      <c r="I83" s="16"/>
      <c r="J83" s="17"/>
      <c r="K83" s="76" t="s">
        <v>127</v>
      </c>
      <c r="L83" s="16"/>
      <c r="M83" s="16"/>
      <c r="N83" s="17"/>
      <c r="O83" s="76" t="s">
        <v>128</v>
      </c>
      <c r="P83" s="16"/>
      <c r="Q83" s="17"/>
      <c r="R83" s="76" t="s">
        <v>129</v>
      </c>
      <c r="S83" s="17"/>
      <c r="T83" s="76" t="s">
        <v>130</v>
      </c>
      <c r="U83" s="17"/>
      <c r="V83" s="76" t="s">
        <v>131</v>
      </c>
      <c r="W83" s="17"/>
      <c r="X83" s="76" t="s">
        <v>132</v>
      </c>
      <c r="Y83" s="17"/>
    </row>
    <row r="84" ht="33.0" customHeight="1">
      <c r="A84" s="80">
        <v>1.0</v>
      </c>
      <c r="B84" s="88" t="s">
        <v>191</v>
      </c>
      <c r="C84" s="66" t="s">
        <v>192</v>
      </c>
      <c r="D84" s="16"/>
      <c r="E84" s="16"/>
      <c r="F84" s="17"/>
      <c r="G84" s="62" t="s">
        <v>59</v>
      </c>
      <c r="H84" s="16"/>
      <c r="I84" s="16"/>
      <c r="J84" s="17"/>
      <c r="K84" s="67">
        <v>5.0</v>
      </c>
      <c r="L84" s="16"/>
      <c r="M84" s="16"/>
      <c r="N84" s="17"/>
      <c r="O84" s="67" t="s">
        <v>136</v>
      </c>
      <c r="P84" s="16"/>
      <c r="Q84" s="17"/>
      <c r="R84" s="69" t="s">
        <v>137</v>
      </c>
      <c r="S84" s="17"/>
      <c r="T84" s="68"/>
      <c r="U84" s="17"/>
      <c r="V84" s="68"/>
      <c r="W84" s="17"/>
      <c r="X84" s="68"/>
      <c r="Y84" s="17"/>
    </row>
    <row r="85" ht="33.0" customHeight="1">
      <c r="A85" s="80">
        <v>2.0</v>
      </c>
      <c r="B85" s="88" t="s">
        <v>193</v>
      </c>
      <c r="C85" s="66" t="s">
        <v>194</v>
      </c>
      <c r="D85" s="16"/>
      <c r="E85" s="16"/>
      <c r="F85" s="17"/>
      <c r="G85" s="62" t="s">
        <v>110</v>
      </c>
      <c r="H85" s="16"/>
      <c r="I85" s="16"/>
      <c r="J85" s="17"/>
      <c r="K85" s="67">
        <v>30.0</v>
      </c>
      <c r="L85" s="16"/>
      <c r="M85" s="16"/>
      <c r="N85" s="17"/>
      <c r="O85" s="67" t="s">
        <v>136</v>
      </c>
      <c r="P85" s="16"/>
      <c r="Q85" s="17"/>
      <c r="R85" s="68"/>
      <c r="S85" s="17"/>
      <c r="T85" s="68"/>
      <c r="U85" s="17"/>
      <c r="V85" s="68"/>
      <c r="W85" s="17"/>
      <c r="X85" s="68"/>
      <c r="Y85" s="17"/>
    </row>
    <row r="86" ht="33.0" customHeight="1">
      <c r="A86" s="80">
        <v>3.0</v>
      </c>
      <c r="B86" s="88" t="s">
        <v>195</v>
      </c>
      <c r="C86" s="66" t="s">
        <v>196</v>
      </c>
      <c r="D86" s="16"/>
      <c r="E86" s="16"/>
      <c r="F86" s="17"/>
      <c r="G86" s="62" t="s">
        <v>110</v>
      </c>
      <c r="H86" s="16"/>
      <c r="I86" s="16"/>
      <c r="J86" s="17"/>
      <c r="K86" s="67">
        <v>250.0</v>
      </c>
      <c r="L86" s="16"/>
      <c r="M86" s="16"/>
      <c r="N86" s="17"/>
      <c r="O86" s="67" t="s">
        <v>142</v>
      </c>
      <c r="P86" s="16"/>
      <c r="Q86" s="17"/>
      <c r="R86" s="68"/>
      <c r="S86" s="17"/>
      <c r="T86" s="68"/>
      <c r="U86" s="17"/>
      <c r="V86" s="68"/>
      <c r="W86" s="17"/>
      <c r="X86" s="68"/>
      <c r="Y86" s="17"/>
    </row>
    <row r="87" ht="33.0" customHeight="1">
      <c r="A87" s="80">
        <v>4.0</v>
      </c>
      <c r="B87" s="88" t="s">
        <v>197</v>
      </c>
      <c r="C87" s="66" t="s">
        <v>198</v>
      </c>
      <c r="D87" s="16"/>
      <c r="E87" s="16"/>
      <c r="F87" s="17"/>
      <c r="G87" s="62" t="s">
        <v>110</v>
      </c>
      <c r="H87" s="16"/>
      <c r="I87" s="16"/>
      <c r="J87" s="17"/>
      <c r="K87" s="67">
        <v>20.0</v>
      </c>
      <c r="L87" s="16"/>
      <c r="M87" s="16"/>
      <c r="N87" s="17"/>
      <c r="O87" s="67" t="s">
        <v>142</v>
      </c>
      <c r="P87" s="16"/>
      <c r="Q87" s="17"/>
      <c r="R87" s="68"/>
      <c r="S87" s="17"/>
      <c r="T87" s="68"/>
      <c r="U87" s="17"/>
      <c r="V87" s="68"/>
      <c r="W87" s="17"/>
      <c r="X87" s="68"/>
      <c r="Y87" s="17"/>
    </row>
    <row r="88" ht="33.0" customHeight="1">
      <c r="A88" s="82"/>
      <c r="B88" s="83"/>
      <c r="C88" s="83"/>
      <c r="G88" s="83"/>
      <c r="K88" s="83"/>
      <c r="O88" s="83"/>
      <c r="R88" s="83"/>
      <c r="T88" s="83"/>
      <c r="V88" s="83"/>
      <c r="X88" s="83"/>
    </row>
    <row r="89" ht="33.0" customHeight="1">
      <c r="A89" s="86">
        <v>8.0</v>
      </c>
      <c r="B89" s="76" t="s">
        <v>2</v>
      </c>
      <c r="C89" s="69" t="s">
        <v>19</v>
      </c>
      <c r="D89" s="16"/>
      <c r="E89" s="16"/>
      <c r="F89" s="17"/>
      <c r="G89" s="76" t="s">
        <v>3</v>
      </c>
      <c r="H89" s="16"/>
      <c r="I89" s="16"/>
      <c r="J89" s="17"/>
      <c r="K89" s="77" t="s">
        <v>20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7"/>
      <c r="X89" s="78" t="s">
        <v>123</v>
      </c>
      <c r="Y89" s="55">
        <v>46023.0</v>
      </c>
    </row>
    <row r="90" ht="33.0" customHeight="1">
      <c r="A90" s="78" t="s">
        <v>1</v>
      </c>
      <c r="B90" s="78" t="s">
        <v>124</v>
      </c>
      <c r="C90" s="76" t="s">
        <v>125</v>
      </c>
      <c r="D90" s="16"/>
      <c r="E90" s="16"/>
      <c r="F90" s="17"/>
      <c r="G90" s="79" t="s">
        <v>158</v>
      </c>
      <c r="H90" s="16"/>
      <c r="I90" s="16"/>
      <c r="J90" s="17"/>
      <c r="K90" s="76" t="s">
        <v>127</v>
      </c>
      <c r="L90" s="16"/>
      <c r="M90" s="16"/>
      <c r="N90" s="17"/>
      <c r="O90" s="76" t="s">
        <v>128</v>
      </c>
      <c r="P90" s="16"/>
      <c r="Q90" s="17"/>
      <c r="R90" s="76" t="s">
        <v>129</v>
      </c>
      <c r="S90" s="17"/>
      <c r="T90" s="76" t="s">
        <v>130</v>
      </c>
      <c r="U90" s="17"/>
      <c r="V90" s="76" t="s">
        <v>131</v>
      </c>
      <c r="W90" s="17"/>
      <c r="X90" s="76" t="s">
        <v>132</v>
      </c>
      <c r="Y90" s="17"/>
    </row>
    <row r="91" ht="33.0" customHeight="1">
      <c r="A91" s="80">
        <v>1.0</v>
      </c>
      <c r="B91" s="65" t="s">
        <v>199</v>
      </c>
      <c r="C91" s="66" t="s">
        <v>200</v>
      </c>
      <c r="D91" s="16"/>
      <c r="E91" s="16"/>
      <c r="F91" s="17"/>
      <c r="G91" s="62" t="s">
        <v>59</v>
      </c>
      <c r="H91" s="16"/>
      <c r="I91" s="16"/>
      <c r="J91" s="17"/>
      <c r="K91" s="67">
        <v>5.0</v>
      </c>
      <c r="L91" s="16"/>
      <c r="M91" s="16"/>
      <c r="N91" s="17"/>
      <c r="O91" s="67" t="s">
        <v>136</v>
      </c>
      <c r="P91" s="16"/>
      <c r="Q91" s="17"/>
      <c r="R91" s="69" t="s">
        <v>137</v>
      </c>
      <c r="S91" s="17"/>
      <c r="T91" s="68"/>
      <c r="U91" s="17"/>
      <c r="V91" s="68"/>
      <c r="W91" s="17"/>
      <c r="X91" s="66" t="s">
        <v>163</v>
      </c>
      <c r="Y91" s="17"/>
    </row>
    <row r="92" ht="33.0" customHeight="1">
      <c r="A92" s="80">
        <v>2.0</v>
      </c>
      <c r="B92" s="65" t="s">
        <v>201</v>
      </c>
      <c r="C92" s="66" t="s">
        <v>202</v>
      </c>
      <c r="D92" s="16"/>
      <c r="E92" s="16"/>
      <c r="F92" s="17"/>
      <c r="G92" s="62" t="s">
        <v>110</v>
      </c>
      <c r="H92" s="16"/>
      <c r="I92" s="16"/>
      <c r="J92" s="17"/>
      <c r="K92" s="67">
        <v>50.0</v>
      </c>
      <c r="L92" s="16"/>
      <c r="M92" s="16"/>
      <c r="N92" s="17"/>
      <c r="O92" s="67" t="s">
        <v>136</v>
      </c>
      <c r="P92" s="16"/>
      <c r="Q92" s="17"/>
      <c r="R92" s="68"/>
      <c r="S92" s="17"/>
      <c r="T92" s="68"/>
      <c r="U92" s="17"/>
      <c r="V92" s="68"/>
      <c r="W92" s="17"/>
      <c r="X92" s="68"/>
      <c r="Y92" s="17"/>
    </row>
    <row r="93" ht="33.0" customHeight="1">
      <c r="A93" s="82"/>
      <c r="B93" s="83"/>
      <c r="C93" s="83"/>
      <c r="G93" s="83"/>
      <c r="K93" s="83"/>
      <c r="O93" s="83"/>
      <c r="R93" s="83"/>
      <c r="T93" s="83"/>
      <c r="V93" s="83"/>
      <c r="X93" s="83"/>
    </row>
    <row r="94" ht="33.0" customHeight="1">
      <c r="A94" s="86">
        <v>9.0</v>
      </c>
      <c r="B94" s="76" t="s">
        <v>2</v>
      </c>
      <c r="C94" s="69" t="s">
        <v>21</v>
      </c>
      <c r="D94" s="16"/>
      <c r="E94" s="16"/>
      <c r="F94" s="17"/>
      <c r="G94" s="76" t="s">
        <v>3</v>
      </c>
      <c r="H94" s="16"/>
      <c r="I94" s="16"/>
      <c r="J94" s="17"/>
      <c r="K94" s="77" t="s">
        <v>22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/>
      <c r="X94" s="78" t="s">
        <v>123</v>
      </c>
      <c r="Y94" s="55">
        <v>46023.0</v>
      </c>
    </row>
    <row r="95" ht="33.0" customHeight="1">
      <c r="A95" s="78" t="s">
        <v>1</v>
      </c>
      <c r="B95" s="78" t="s">
        <v>124</v>
      </c>
      <c r="C95" s="76" t="s">
        <v>125</v>
      </c>
      <c r="D95" s="16"/>
      <c r="E95" s="16"/>
      <c r="F95" s="17"/>
      <c r="G95" s="79" t="s">
        <v>158</v>
      </c>
      <c r="H95" s="16"/>
      <c r="I95" s="16"/>
      <c r="J95" s="17"/>
      <c r="K95" s="76" t="s">
        <v>127</v>
      </c>
      <c r="L95" s="16"/>
      <c r="M95" s="16"/>
      <c r="N95" s="17"/>
      <c r="O95" s="76" t="s">
        <v>128</v>
      </c>
      <c r="P95" s="16"/>
      <c r="Q95" s="17"/>
      <c r="R95" s="76" t="s">
        <v>129</v>
      </c>
      <c r="S95" s="17"/>
      <c r="T95" s="76" t="s">
        <v>130</v>
      </c>
      <c r="U95" s="17"/>
      <c r="V95" s="76" t="s">
        <v>131</v>
      </c>
      <c r="W95" s="17"/>
      <c r="X95" s="76" t="s">
        <v>132</v>
      </c>
      <c r="Y95" s="17"/>
    </row>
    <row r="96" ht="33.0" customHeight="1">
      <c r="A96" s="80">
        <v>1.0</v>
      </c>
      <c r="B96" s="65" t="s">
        <v>199</v>
      </c>
      <c r="C96" s="66" t="s">
        <v>203</v>
      </c>
      <c r="D96" s="16"/>
      <c r="E96" s="16"/>
      <c r="F96" s="17"/>
      <c r="G96" s="62" t="s">
        <v>135</v>
      </c>
      <c r="H96" s="16"/>
      <c r="I96" s="16"/>
      <c r="J96" s="17"/>
      <c r="K96" s="67">
        <v>5.0</v>
      </c>
      <c r="L96" s="16"/>
      <c r="M96" s="16"/>
      <c r="N96" s="17"/>
      <c r="O96" s="67" t="s">
        <v>136</v>
      </c>
      <c r="P96" s="16"/>
      <c r="Q96" s="17"/>
      <c r="R96" s="68"/>
      <c r="S96" s="17"/>
      <c r="T96" s="69" t="s">
        <v>137</v>
      </c>
      <c r="U96" s="17"/>
      <c r="V96" s="68"/>
      <c r="W96" s="17"/>
      <c r="X96" s="68"/>
      <c r="Y96" s="17"/>
    </row>
    <row r="97" ht="33.0" customHeight="1">
      <c r="A97" s="89">
        <v>2.0</v>
      </c>
      <c r="B97" s="90" t="s">
        <v>133</v>
      </c>
      <c r="C97" s="91" t="s">
        <v>204</v>
      </c>
      <c r="D97" s="27"/>
      <c r="E97" s="27"/>
      <c r="F97" s="28"/>
      <c r="G97" s="58" t="s">
        <v>135</v>
      </c>
      <c r="H97" s="16"/>
      <c r="I97" s="16"/>
      <c r="J97" s="17"/>
      <c r="K97" s="92">
        <v>15.0</v>
      </c>
      <c r="L97" s="27"/>
      <c r="M97" s="27"/>
      <c r="N97" s="28"/>
      <c r="O97" s="92" t="s">
        <v>136</v>
      </c>
      <c r="P97" s="27"/>
      <c r="Q97" s="28"/>
      <c r="R97" s="93"/>
      <c r="S97" s="28"/>
      <c r="T97" s="94" t="s">
        <v>137</v>
      </c>
      <c r="U97" s="28"/>
      <c r="V97" s="93"/>
      <c r="W97" s="28"/>
      <c r="X97" s="93"/>
      <c r="Y97" s="28"/>
    </row>
    <row r="98" ht="33.0" customHeight="1">
      <c r="A98" s="80">
        <v>3.0</v>
      </c>
      <c r="B98" s="65" t="s">
        <v>205</v>
      </c>
      <c r="C98" s="66" t="s">
        <v>206</v>
      </c>
      <c r="D98" s="16"/>
      <c r="E98" s="16"/>
      <c r="F98" s="17"/>
      <c r="G98" s="62" t="s">
        <v>59</v>
      </c>
      <c r="H98" s="16"/>
      <c r="I98" s="16"/>
      <c r="J98" s="17"/>
      <c r="K98" s="67">
        <v>10.0</v>
      </c>
      <c r="L98" s="16"/>
      <c r="M98" s="16"/>
      <c r="N98" s="17"/>
      <c r="O98" s="67" t="s">
        <v>136</v>
      </c>
      <c r="P98" s="16"/>
      <c r="Q98" s="17"/>
      <c r="R98" s="69" t="s">
        <v>137</v>
      </c>
      <c r="S98" s="17"/>
      <c r="T98" s="68"/>
      <c r="U98" s="17"/>
      <c r="V98" s="68"/>
      <c r="W98" s="17"/>
      <c r="X98" s="68"/>
      <c r="Y98" s="17"/>
    </row>
    <row r="99" ht="33.0" customHeight="1">
      <c r="A99" s="82"/>
      <c r="B99" s="83"/>
      <c r="C99" s="83"/>
      <c r="G99" s="83"/>
      <c r="K99" s="83"/>
      <c r="O99" s="83"/>
      <c r="R99" s="83"/>
      <c r="T99" s="83"/>
      <c r="V99" s="83"/>
      <c r="X99" s="83"/>
    </row>
    <row r="100" ht="33.0" customHeight="1">
      <c r="A100" s="86">
        <v>10.0</v>
      </c>
      <c r="B100" s="76" t="s">
        <v>2</v>
      </c>
      <c r="C100" s="69" t="s">
        <v>23</v>
      </c>
      <c r="D100" s="16"/>
      <c r="E100" s="16"/>
      <c r="F100" s="17"/>
      <c r="G100" s="76" t="s">
        <v>3</v>
      </c>
      <c r="H100" s="16"/>
      <c r="I100" s="16"/>
      <c r="J100" s="17"/>
      <c r="K100" s="77" t="s">
        <v>24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7"/>
      <c r="X100" s="78" t="s">
        <v>123</v>
      </c>
      <c r="Y100" s="55">
        <v>46023.0</v>
      </c>
    </row>
    <row r="101" ht="33.0" customHeight="1">
      <c r="A101" s="78" t="s">
        <v>1</v>
      </c>
      <c r="B101" s="78" t="s">
        <v>124</v>
      </c>
      <c r="C101" s="76" t="s">
        <v>125</v>
      </c>
      <c r="D101" s="16"/>
      <c r="E101" s="16"/>
      <c r="F101" s="17"/>
      <c r="G101" s="79" t="s">
        <v>158</v>
      </c>
      <c r="H101" s="16"/>
      <c r="I101" s="16"/>
      <c r="J101" s="17"/>
      <c r="K101" s="76" t="s">
        <v>127</v>
      </c>
      <c r="L101" s="16"/>
      <c r="M101" s="16"/>
      <c r="N101" s="17"/>
      <c r="O101" s="76" t="s">
        <v>128</v>
      </c>
      <c r="P101" s="16"/>
      <c r="Q101" s="17"/>
      <c r="R101" s="76" t="s">
        <v>129</v>
      </c>
      <c r="S101" s="17"/>
      <c r="T101" s="76" t="s">
        <v>130</v>
      </c>
      <c r="U101" s="17"/>
      <c r="V101" s="76" t="s">
        <v>131</v>
      </c>
      <c r="W101" s="17"/>
      <c r="X101" s="76" t="s">
        <v>132</v>
      </c>
      <c r="Y101" s="17"/>
    </row>
    <row r="102" ht="33.0" customHeight="1">
      <c r="A102" s="80">
        <v>1.0</v>
      </c>
      <c r="B102" s="65" t="s">
        <v>207</v>
      </c>
      <c r="C102" s="66" t="s">
        <v>208</v>
      </c>
      <c r="D102" s="16"/>
      <c r="E102" s="16"/>
      <c r="F102" s="17"/>
      <c r="G102" s="62" t="s">
        <v>59</v>
      </c>
      <c r="H102" s="16"/>
      <c r="I102" s="16"/>
      <c r="J102" s="17"/>
      <c r="K102" s="67">
        <v>5.0</v>
      </c>
      <c r="L102" s="16"/>
      <c r="M102" s="16"/>
      <c r="N102" s="17"/>
      <c r="O102" s="67" t="s">
        <v>136</v>
      </c>
      <c r="P102" s="16"/>
      <c r="Q102" s="17"/>
      <c r="R102" s="69" t="s">
        <v>137</v>
      </c>
      <c r="S102" s="17"/>
      <c r="T102" s="68"/>
      <c r="U102" s="17"/>
      <c r="V102" s="68"/>
      <c r="W102" s="17"/>
      <c r="X102" s="68"/>
      <c r="Y102" s="17"/>
    </row>
    <row r="103" ht="33.0" customHeight="1">
      <c r="A103" s="80">
        <v>2.0</v>
      </c>
      <c r="B103" s="65" t="s">
        <v>209</v>
      </c>
      <c r="C103" s="66" t="s">
        <v>210</v>
      </c>
      <c r="D103" s="16"/>
      <c r="E103" s="16"/>
      <c r="F103" s="17"/>
      <c r="G103" s="62" t="s">
        <v>110</v>
      </c>
      <c r="H103" s="16"/>
      <c r="I103" s="16"/>
      <c r="J103" s="17"/>
      <c r="K103" s="67">
        <v>50.0</v>
      </c>
      <c r="L103" s="16"/>
      <c r="M103" s="16"/>
      <c r="N103" s="17"/>
      <c r="O103" s="67" t="s">
        <v>136</v>
      </c>
      <c r="P103" s="16"/>
      <c r="Q103" s="17"/>
      <c r="R103" s="68"/>
      <c r="S103" s="17"/>
      <c r="T103" s="68"/>
      <c r="U103" s="17"/>
      <c r="V103" s="68"/>
      <c r="W103" s="17"/>
      <c r="X103" s="68"/>
      <c r="Y103" s="17"/>
    </row>
    <row r="104" ht="33.0" customHeight="1">
      <c r="A104" s="82"/>
      <c r="B104" s="83"/>
      <c r="C104" s="83"/>
      <c r="G104" s="83"/>
      <c r="K104" s="83"/>
      <c r="O104" s="83"/>
      <c r="R104" s="83"/>
      <c r="T104" s="83"/>
      <c r="V104" s="83"/>
      <c r="X104" s="83"/>
    </row>
    <row r="105" ht="33.0" customHeight="1">
      <c r="A105" s="86">
        <v>11.0</v>
      </c>
      <c r="B105" s="76" t="s">
        <v>2</v>
      </c>
      <c r="C105" s="69" t="s">
        <v>25</v>
      </c>
      <c r="D105" s="16"/>
      <c r="E105" s="16"/>
      <c r="F105" s="17"/>
      <c r="G105" s="76" t="s">
        <v>3</v>
      </c>
      <c r="H105" s="16"/>
      <c r="I105" s="16"/>
      <c r="J105" s="17"/>
      <c r="K105" s="84" t="s">
        <v>211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7"/>
      <c r="X105" s="78" t="s">
        <v>123</v>
      </c>
      <c r="Y105" s="55">
        <v>46023.0</v>
      </c>
    </row>
    <row r="106" ht="33.0" customHeight="1">
      <c r="A106" s="78" t="s">
        <v>1</v>
      </c>
      <c r="B106" s="78" t="s">
        <v>124</v>
      </c>
      <c r="C106" s="76" t="s">
        <v>125</v>
      </c>
      <c r="D106" s="16"/>
      <c r="E106" s="16"/>
      <c r="F106" s="17"/>
      <c r="G106" s="79" t="s">
        <v>158</v>
      </c>
      <c r="H106" s="16"/>
      <c r="I106" s="16"/>
      <c r="J106" s="17"/>
      <c r="K106" s="76" t="s">
        <v>127</v>
      </c>
      <c r="L106" s="16"/>
      <c r="M106" s="16"/>
      <c r="N106" s="17"/>
      <c r="O106" s="76" t="s">
        <v>128</v>
      </c>
      <c r="P106" s="16"/>
      <c r="Q106" s="17"/>
      <c r="R106" s="76" t="s">
        <v>129</v>
      </c>
      <c r="S106" s="17"/>
      <c r="T106" s="76" t="s">
        <v>130</v>
      </c>
      <c r="U106" s="17"/>
      <c r="V106" s="76" t="s">
        <v>131</v>
      </c>
      <c r="W106" s="17"/>
      <c r="X106" s="76" t="s">
        <v>132</v>
      </c>
      <c r="Y106" s="17"/>
    </row>
    <row r="107" ht="33.0" customHeight="1">
      <c r="A107" s="80">
        <v>1.0</v>
      </c>
      <c r="B107" s="65" t="s">
        <v>212</v>
      </c>
      <c r="C107" s="66" t="s">
        <v>213</v>
      </c>
      <c r="D107" s="16"/>
      <c r="E107" s="16"/>
      <c r="F107" s="17"/>
      <c r="G107" s="62" t="s">
        <v>110</v>
      </c>
      <c r="H107" s="16"/>
      <c r="I107" s="16"/>
      <c r="J107" s="17"/>
      <c r="K107" s="67">
        <v>80.0</v>
      </c>
      <c r="L107" s="16"/>
      <c r="M107" s="16"/>
      <c r="N107" s="17"/>
      <c r="O107" s="67" t="s">
        <v>136</v>
      </c>
      <c r="P107" s="16"/>
      <c r="Q107" s="17"/>
      <c r="R107" s="68"/>
      <c r="S107" s="17"/>
      <c r="T107" s="68"/>
      <c r="U107" s="17"/>
      <c r="V107" s="68"/>
      <c r="W107" s="17"/>
      <c r="X107" s="68"/>
      <c r="Y107" s="17"/>
    </row>
    <row r="108" ht="33.0" customHeight="1">
      <c r="A108" s="80">
        <v>2.0</v>
      </c>
      <c r="B108" s="65" t="s">
        <v>214</v>
      </c>
      <c r="C108" s="66" t="s">
        <v>215</v>
      </c>
      <c r="D108" s="16"/>
      <c r="E108" s="16"/>
      <c r="F108" s="17"/>
      <c r="G108" s="58" t="s">
        <v>74</v>
      </c>
      <c r="H108" s="16"/>
      <c r="I108" s="16"/>
      <c r="J108" s="17"/>
      <c r="K108" s="62">
        <v>10.2</v>
      </c>
      <c r="L108" s="16"/>
      <c r="M108" s="16"/>
      <c r="N108" s="17"/>
      <c r="O108" s="67" t="s">
        <v>136</v>
      </c>
      <c r="P108" s="16"/>
      <c r="Q108" s="17"/>
      <c r="R108" s="68"/>
      <c r="S108" s="17"/>
      <c r="T108" s="68"/>
      <c r="U108" s="17"/>
      <c r="V108" s="68"/>
      <c r="W108" s="17"/>
      <c r="X108" s="68"/>
      <c r="Y108" s="17"/>
    </row>
    <row r="109" ht="33.0" customHeight="1">
      <c r="A109" s="80">
        <v>3.0</v>
      </c>
      <c r="B109" s="65" t="s">
        <v>207</v>
      </c>
      <c r="C109" s="66" t="s">
        <v>216</v>
      </c>
      <c r="D109" s="16"/>
      <c r="E109" s="16"/>
      <c r="F109" s="17"/>
      <c r="G109" s="58" t="s">
        <v>135</v>
      </c>
      <c r="H109" s="16"/>
      <c r="I109" s="16"/>
      <c r="J109" s="17"/>
      <c r="K109" s="67">
        <v>5.0</v>
      </c>
      <c r="L109" s="16"/>
      <c r="M109" s="16"/>
      <c r="N109" s="17"/>
      <c r="O109" s="67" t="s">
        <v>136</v>
      </c>
      <c r="P109" s="16"/>
      <c r="Q109" s="17"/>
      <c r="R109" s="68"/>
      <c r="S109" s="17"/>
      <c r="T109" s="69" t="s">
        <v>137</v>
      </c>
      <c r="U109" s="17"/>
      <c r="V109" s="68"/>
      <c r="W109" s="17"/>
      <c r="X109" s="68"/>
      <c r="Y109" s="17"/>
    </row>
    <row r="110" ht="33.0" customHeight="1">
      <c r="A110" s="80">
        <v>4.0</v>
      </c>
      <c r="B110" s="65" t="s">
        <v>217</v>
      </c>
      <c r="C110" s="66" t="s">
        <v>218</v>
      </c>
      <c r="D110" s="16"/>
      <c r="E110" s="16"/>
      <c r="F110" s="17"/>
      <c r="G110" s="62" t="s">
        <v>59</v>
      </c>
      <c r="H110" s="16"/>
      <c r="I110" s="16"/>
      <c r="J110" s="17"/>
      <c r="K110" s="67">
        <v>10.0</v>
      </c>
      <c r="L110" s="16"/>
      <c r="M110" s="16"/>
      <c r="N110" s="17"/>
      <c r="O110" s="67" t="s">
        <v>136</v>
      </c>
      <c r="P110" s="16"/>
      <c r="Q110" s="17"/>
      <c r="R110" s="69" t="s">
        <v>137</v>
      </c>
      <c r="S110" s="17"/>
      <c r="T110" s="68"/>
      <c r="U110" s="17"/>
      <c r="V110" s="68"/>
      <c r="W110" s="17"/>
      <c r="X110" s="68"/>
      <c r="Y110" s="17"/>
    </row>
    <row r="111" ht="33.0" customHeight="1">
      <c r="A111" s="82"/>
      <c r="B111" s="83"/>
      <c r="C111" s="83"/>
      <c r="G111" s="83"/>
      <c r="K111" s="83"/>
      <c r="O111" s="83"/>
      <c r="R111" s="83"/>
      <c r="T111" s="83"/>
      <c r="V111" s="83"/>
      <c r="X111" s="83"/>
    </row>
    <row r="112" ht="33.0" customHeight="1">
      <c r="A112" s="86">
        <v>12.0</v>
      </c>
      <c r="B112" s="76" t="s">
        <v>2</v>
      </c>
      <c r="C112" s="69" t="s">
        <v>27</v>
      </c>
      <c r="D112" s="16"/>
      <c r="E112" s="16"/>
      <c r="F112" s="17"/>
      <c r="G112" s="76" t="s">
        <v>3</v>
      </c>
      <c r="H112" s="16"/>
      <c r="I112" s="16"/>
      <c r="J112" s="17"/>
      <c r="K112" s="77" t="s">
        <v>28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7"/>
      <c r="X112" s="78" t="s">
        <v>123</v>
      </c>
      <c r="Y112" s="55">
        <v>46023.0</v>
      </c>
    </row>
    <row r="113" ht="33.0" customHeight="1">
      <c r="A113" s="78" t="s">
        <v>1</v>
      </c>
      <c r="B113" s="78" t="s">
        <v>124</v>
      </c>
      <c r="C113" s="76" t="s">
        <v>125</v>
      </c>
      <c r="D113" s="16"/>
      <c r="E113" s="16"/>
      <c r="F113" s="17"/>
      <c r="G113" s="79" t="s">
        <v>158</v>
      </c>
      <c r="H113" s="16"/>
      <c r="I113" s="16"/>
      <c r="J113" s="17"/>
      <c r="K113" s="76" t="s">
        <v>127</v>
      </c>
      <c r="L113" s="16"/>
      <c r="M113" s="16"/>
      <c r="N113" s="17"/>
      <c r="O113" s="76" t="s">
        <v>128</v>
      </c>
      <c r="P113" s="16"/>
      <c r="Q113" s="17"/>
      <c r="R113" s="76" t="s">
        <v>129</v>
      </c>
      <c r="S113" s="17"/>
      <c r="T113" s="76" t="s">
        <v>130</v>
      </c>
      <c r="U113" s="17"/>
      <c r="V113" s="76" t="s">
        <v>131</v>
      </c>
      <c r="W113" s="17"/>
      <c r="X113" s="76" t="s">
        <v>132</v>
      </c>
      <c r="Y113" s="17"/>
    </row>
    <row r="114" ht="33.0" customHeight="1">
      <c r="A114" s="80">
        <v>1.0</v>
      </c>
      <c r="B114" s="65" t="s">
        <v>219</v>
      </c>
      <c r="C114" s="66" t="s">
        <v>220</v>
      </c>
      <c r="D114" s="16"/>
      <c r="E114" s="16"/>
      <c r="F114" s="17"/>
      <c r="G114" s="62" t="s">
        <v>59</v>
      </c>
      <c r="H114" s="16"/>
      <c r="I114" s="16"/>
      <c r="J114" s="17"/>
      <c r="K114" s="67">
        <v>5.0</v>
      </c>
      <c r="L114" s="16"/>
      <c r="M114" s="16"/>
      <c r="N114" s="17"/>
      <c r="O114" s="67" t="s">
        <v>136</v>
      </c>
      <c r="P114" s="16"/>
      <c r="Q114" s="17"/>
      <c r="R114" s="69" t="s">
        <v>137</v>
      </c>
      <c r="S114" s="17"/>
      <c r="T114" s="68"/>
      <c r="U114" s="17"/>
      <c r="V114" s="68"/>
      <c r="W114" s="17"/>
      <c r="X114" s="68"/>
      <c r="Y114" s="17"/>
    </row>
    <row r="115" ht="33.0" customHeight="1">
      <c r="A115" s="80">
        <v>2.0</v>
      </c>
      <c r="B115" s="65" t="s">
        <v>221</v>
      </c>
      <c r="C115" s="66" t="s">
        <v>222</v>
      </c>
      <c r="D115" s="16"/>
      <c r="E115" s="16"/>
      <c r="F115" s="17"/>
      <c r="G115" s="62" t="s">
        <v>110</v>
      </c>
      <c r="H115" s="16"/>
      <c r="I115" s="16"/>
      <c r="J115" s="17"/>
      <c r="K115" s="67">
        <v>50.0</v>
      </c>
      <c r="L115" s="16"/>
      <c r="M115" s="16"/>
      <c r="N115" s="17"/>
      <c r="O115" s="67" t="s">
        <v>136</v>
      </c>
      <c r="P115" s="16"/>
      <c r="Q115" s="17"/>
      <c r="R115" s="68"/>
      <c r="S115" s="17"/>
      <c r="T115" s="68"/>
      <c r="U115" s="17"/>
      <c r="V115" s="68"/>
      <c r="W115" s="17"/>
      <c r="X115" s="68"/>
      <c r="Y115" s="17"/>
    </row>
    <row r="116" ht="33.0" customHeight="1">
      <c r="A116" s="82"/>
      <c r="B116" s="83"/>
      <c r="C116" s="83"/>
      <c r="G116" s="83"/>
      <c r="K116" s="83"/>
      <c r="O116" s="83"/>
      <c r="R116" s="83"/>
      <c r="T116" s="83"/>
      <c r="V116" s="83"/>
      <c r="X116" s="83"/>
    </row>
    <row r="117" ht="33.0" customHeight="1">
      <c r="A117" s="86">
        <v>13.0</v>
      </c>
      <c r="B117" s="76" t="s">
        <v>2</v>
      </c>
      <c r="C117" s="69" t="s">
        <v>29</v>
      </c>
      <c r="D117" s="16"/>
      <c r="E117" s="16"/>
      <c r="F117" s="17"/>
      <c r="G117" s="76" t="s">
        <v>3</v>
      </c>
      <c r="H117" s="16"/>
      <c r="I117" s="16"/>
      <c r="J117" s="17"/>
      <c r="K117" s="77" t="s">
        <v>30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7"/>
      <c r="X117" s="78" t="s">
        <v>123</v>
      </c>
      <c r="Y117" s="55">
        <v>46023.0</v>
      </c>
    </row>
    <row r="118" ht="33.0" customHeight="1">
      <c r="A118" s="78" t="s">
        <v>1</v>
      </c>
      <c r="B118" s="78" t="s">
        <v>124</v>
      </c>
      <c r="C118" s="76" t="s">
        <v>125</v>
      </c>
      <c r="D118" s="16"/>
      <c r="E118" s="16"/>
      <c r="F118" s="17"/>
      <c r="G118" s="79" t="s">
        <v>158</v>
      </c>
      <c r="H118" s="16"/>
      <c r="I118" s="16"/>
      <c r="J118" s="17"/>
      <c r="K118" s="76" t="s">
        <v>127</v>
      </c>
      <c r="L118" s="16"/>
      <c r="M118" s="16"/>
      <c r="N118" s="17"/>
      <c r="O118" s="76" t="s">
        <v>128</v>
      </c>
      <c r="P118" s="16"/>
      <c r="Q118" s="17"/>
      <c r="R118" s="76" t="s">
        <v>129</v>
      </c>
      <c r="S118" s="17"/>
      <c r="T118" s="76" t="s">
        <v>130</v>
      </c>
      <c r="U118" s="17"/>
      <c r="V118" s="76" t="s">
        <v>131</v>
      </c>
      <c r="W118" s="17"/>
      <c r="X118" s="76" t="s">
        <v>132</v>
      </c>
      <c r="Y118" s="17"/>
    </row>
    <row r="119" ht="33.0" customHeight="1">
      <c r="A119" s="80">
        <v>1.0</v>
      </c>
      <c r="B119" s="65" t="s">
        <v>223</v>
      </c>
      <c r="C119" s="66" t="s">
        <v>224</v>
      </c>
      <c r="D119" s="16"/>
      <c r="E119" s="16"/>
      <c r="F119" s="17"/>
      <c r="G119" s="62" t="s">
        <v>110</v>
      </c>
      <c r="H119" s="16"/>
      <c r="I119" s="16"/>
      <c r="J119" s="17"/>
      <c r="K119" s="67">
        <v>100.0</v>
      </c>
      <c r="L119" s="16"/>
      <c r="M119" s="16"/>
      <c r="N119" s="17"/>
      <c r="O119" s="67" t="s">
        <v>136</v>
      </c>
      <c r="P119" s="16"/>
      <c r="Q119" s="17"/>
      <c r="R119" s="68"/>
      <c r="S119" s="17"/>
      <c r="T119" s="68"/>
      <c r="U119" s="17"/>
      <c r="V119" s="68"/>
      <c r="W119" s="17"/>
      <c r="X119" s="68"/>
      <c r="Y119" s="17"/>
    </row>
    <row r="120" ht="33.0" customHeight="1">
      <c r="A120" s="80">
        <v>2.0</v>
      </c>
      <c r="B120" s="65" t="s">
        <v>225</v>
      </c>
      <c r="C120" s="66" t="s">
        <v>226</v>
      </c>
      <c r="D120" s="16"/>
      <c r="E120" s="16"/>
      <c r="F120" s="17"/>
      <c r="G120" s="62" t="s">
        <v>92</v>
      </c>
      <c r="H120" s="16"/>
      <c r="I120" s="16"/>
      <c r="J120" s="17"/>
      <c r="K120" s="67">
        <v>10.0</v>
      </c>
      <c r="L120" s="16"/>
      <c r="M120" s="16"/>
      <c r="N120" s="17"/>
      <c r="O120" s="62" t="s">
        <v>136</v>
      </c>
      <c r="P120" s="16"/>
      <c r="Q120" s="17"/>
      <c r="R120" s="68"/>
      <c r="S120" s="17"/>
      <c r="T120" s="68"/>
      <c r="U120" s="17"/>
      <c r="V120" s="68"/>
      <c r="W120" s="17"/>
      <c r="X120" s="68"/>
      <c r="Y120" s="17"/>
    </row>
    <row r="121" ht="33.0" customHeight="1">
      <c r="A121" s="80">
        <v>3.0</v>
      </c>
      <c r="B121" s="65" t="s">
        <v>227</v>
      </c>
      <c r="C121" s="66" t="s">
        <v>228</v>
      </c>
      <c r="D121" s="16"/>
      <c r="E121" s="16"/>
      <c r="F121" s="17"/>
      <c r="G121" s="62" t="s">
        <v>110</v>
      </c>
      <c r="H121" s="16"/>
      <c r="I121" s="16"/>
      <c r="J121" s="17"/>
      <c r="K121" s="67">
        <v>5.0</v>
      </c>
      <c r="L121" s="16"/>
      <c r="M121" s="16"/>
      <c r="N121" s="17"/>
      <c r="O121" s="62" t="s">
        <v>136</v>
      </c>
      <c r="P121" s="16"/>
      <c r="Q121" s="17"/>
      <c r="R121" s="68"/>
      <c r="S121" s="17"/>
      <c r="T121" s="68"/>
      <c r="U121" s="17"/>
      <c r="V121" s="68"/>
      <c r="W121" s="17"/>
      <c r="X121" s="68"/>
      <c r="Y121" s="17"/>
    </row>
    <row r="122" ht="33.0" customHeight="1">
      <c r="A122" s="80">
        <v>4.0</v>
      </c>
      <c r="B122" s="65" t="s">
        <v>229</v>
      </c>
      <c r="C122" s="66" t="s">
        <v>230</v>
      </c>
      <c r="D122" s="16"/>
      <c r="E122" s="16"/>
      <c r="F122" s="17"/>
      <c r="G122" s="62" t="s">
        <v>110</v>
      </c>
      <c r="H122" s="16"/>
      <c r="I122" s="16"/>
      <c r="J122" s="17"/>
      <c r="K122" s="67">
        <v>50.0</v>
      </c>
      <c r="L122" s="16"/>
      <c r="M122" s="16"/>
      <c r="N122" s="17"/>
      <c r="O122" s="67" t="s">
        <v>136</v>
      </c>
      <c r="P122" s="16"/>
      <c r="Q122" s="17"/>
      <c r="R122" s="68"/>
      <c r="S122" s="17"/>
      <c r="T122" s="68"/>
      <c r="U122" s="17"/>
      <c r="V122" s="68"/>
      <c r="W122" s="17"/>
      <c r="X122" s="68"/>
      <c r="Y122" s="17"/>
    </row>
    <row r="123" ht="33.0" customHeight="1">
      <c r="A123" s="80">
        <v>5.0</v>
      </c>
      <c r="B123" s="65" t="s">
        <v>219</v>
      </c>
      <c r="C123" s="66" t="s">
        <v>220</v>
      </c>
      <c r="D123" s="16"/>
      <c r="E123" s="16"/>
      <c r="F123" s="17"/>
      <c r="G123" s="58" t="s">
        <v>135</v>
      </c>
      <c r="H123" s="16"/>
      <c r="I123" s="16"/>
      <c r="J123" s="17"/>
      <c r="K123" s="67">
        <v>5.0</v>
      </c>
      <c r="L123" s="16"/>
      <c r="M123" s="16"/>
      <c r="N123" s="17"/>
      <c r="O123" s="67" t="s">
        <v>136</v>
      </c>
      <c r="P123" s="16"/>
      <c r="Q123" s="17"/>
      <c r="R123" s="68"/>
      <c r="S123" s="17"/>
      <c r="T123" s="69" t="s">
        <v>137</v>
      </c>
      <c r="U123" s="17"/>
      <c r="V123" s="68"/>
      <c r="W123" s="17"/>
      <c r="X123" s="68"/>
      <c r="Y123" s="17"/>
    </row>
    <row r="124" ht="33.0" customHeight="1">
      <c r="A124" s="80">
        <v>6.0</v>
      </c>
      <c r="B124" s="65" t="s">
        <v>133</v>
      </c>
      <c r="C124" s="66" t="s">
        <v>231</v>
      </c>
      <c r="D124" s="16"/>
      <c r="E124" s="16"/>
      <c r="F124" s="17"/>
      <c r="G124" s="58" t="s">
        <v>135</v>
      </c>
      <c r="H124" s="16"/>
      <c r="I124" s="16"/>
      <c r="J124" s="17"/>
      <c r="K124" s="67">
        <v>15.0</v>
      </c>
      <c r="L124" s="16"/>
      <c r="M124" s="16"/>
      <c r="N124" s="17"/>
      <c r="O124" s="67" t="s">
        <v>136</v>
      </c>
      <c r="P124" s="16"/>
      <c r="Q124" s="17"/>
      <c r="R124" s="68"/>
      <c r="S124" s="17"/>
      <c r="T124" s="69" t="s">
        <v>137</v>
      </c>
      <c r="U124" s="17"/>
      <c r="V124" s="68"/>
      <c r="W124" s="17"/>
      <c r="X124" s="68"/>
      <c r="Y124" s="17"/>
    </row>
    <row r="125" ht="33.0" customHeight="1">
      <c r="A125" s="80">
        <v>7.0</v>
      </c>
      <c r="B125" s="65" t="s">
        <v>232</v>
      </c>
      <c r="C125" s="66" t="s">
        <v>233</v>
      </c>
      <c r="D125" s="16"/>
      <c r="E125" s="16"/>
      <c r="F125" s="17"/>
      <c r="G125" s="62" t="s">
        <v>59</v>
      </c>
      <c r="H125" s="16"/>
      <c r="I125" s="16"/>
      <c r="J125" s="17"/>
      <c r="K125" s="67">
        <v>5.0</v>
      </c>
      <c r="L125" s="16"/>
      <c r="M125" s="16"/>
      <c r="N125" s="17"/>
      <c r="O125" s="67" t="s">
        <v>136</v>
      </c>
      <c r="P125" s="16"/>
      <c r="Q125" s="17"/>
      <c r="R125" s="69" t="s">
        <v>137</v>
      </c>
      <c r="S125" s="17"/>
      <c r="T125" s="68"/>
      <c r="U125" s="17"/>
      <c r="V125" s="68"/>
      <c r="W125" s="17"/>
      <c r="X125" s="68"/>
      <c r="Y125" s="17"/>
    </row>
    <row r="126" ht="33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ht="33.0" customHeight="1">
      <c r="A127" s="86">
        <v>14.0</v>
      </c>
      <c r="B127" s="76" t="s">
        <v>2</v>
      </c>
      <c r="C127" s="69" t="s">
        <v>31</v>
      </c>
      <c r="D127" s="16"/>
      <c r="E127" s="16"/>
      <c r="F127" s="17"/>
      <c r="G127" s="76" t="s">
        <v>3</v>
      </c>
      <c r="H127" s="16"/>
      <c r="I127" s="16"/>
      <c r="J127" s="17"/>
      <c r="K127" s="77" t="s">
        <v>234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7"/>
      <c r="X127" s="78" t="s">
        <v>123</v>
      </c>
      <c r="Y127" s="55">
        <v>46023.0</v>
      </c>
    </row>
    <row r="128" ht="33.0" customHeight="1">
      <c r="A128" s="78" t="s">
        <v>1</v>
      </c>
      <c r="B128" s="78" t="s">
        <v>124</v>
      </c>
      <c r="C128" s="76" t="s">
        <v>125</v>
      </c>
      <c r="D128" s="16"/>
      <c r="E128" s="16"/>
      <c r="F128" s="17"/>
      <c r="G128" s="79" t="s">
        <v>158</v>
      </c>
      <c r="H128" s="16"/>
      <c r="I128" s="16"/>
      <c r="J128" s="17"/>
      <c r="K128" s="76" t="s">
        <v>127</v>
      </c>
      <c r="L128" s="16"/>
      <c r="M128" s="16"/>
      <c r="N128" s="17"/>
      <c r="O128" s="76" t="s">
        <v>128</v>
      </c>
      <c r="P128" s="16"/>
      <c r="Q128" s="17"/>
      <c r="R128" s="76" t="s">
        <v>129</v>
      </c>
      <c r="S128" s="17"/>
      <c r="T128" s="76" t="s">
        <v>130</v>
      </c>
      <c r="U128" s="17"/>
      <c r="V128" s="76" t="s">
        <v>131</v>
      </c>
      <c r="W128" s="17"/>
      <c r="X128" s="76" t="s">
        <v>132</v>
      </c>
      <c r="Y128" s="17"/>
    </row>
    <row r="129" ht="33.0" customHeight="1">
      <c r="A129" s="80">
        <v>1.0</v>
      </c>
      <c r="B129" s="65" t="s">
        <v>235</v>
      </c>
      <c r="C129" s="66" t="s">
        <v>236</v>
      </c>
      <c r="D129" s="16"/>
      <c r="E129" s="16"/>
      <c r="F129" s="17"/>
      <c r="G129" s="62" t="s">
        <v>237</v>
      </c>
      <c r="H129" s="16"/>
      <c r="I129" s="16"/>
      <c r="J129" s="17"/>
      <c r="K129" s="67">
        <v>5.0</v>
      </c>
      <c r="L129" s="16"/>
      <c r="M129" s="16"/>
      <c r="N129" s="17"/>
      <c r="O129" s="67" t="s">
        <v>136</v>
      </c>
      <c r="P129" s="16"/>
      <c r="Q129" s="17"/>
      <c r="R129" s="69" t="s">
        <v>137</v>
      </c>
      <c r="S129" s="17"/>
      <c r="T129" s="68"/>
      <c r="U129" s="17"/>
      <c r="V129" s="68"/>
      <c r="W129" s="17"/>
      <c r="X129" s="68"/>
      <c r="Y129" s="17"/>
    </row>
    <row r="130" ht="33.0" customHeight="1">
      <c r="A130" s="80">
        <v>2.0</v>
      </c>
      <c r="B130" s="65" t="s">
        <v>238</v>
      </c>
      <c r="C130" s="66" t="s">
        <v>204</v>
      </c>
      <c r="D130" s="16"/>
      <c r="E130" s="16"/>
      <c r="F130" s="17"/>
      <c r="G130" s="58" t="s">
        <v>135</v>
      </c>
      <c r="H130" s="16"/>
      <c r="I130" s="16"/>
      <c r="J130" s="17"/>
      <c r="K130" s="67">
        <v>15.0</v>
      </c>
      <c r="L130" s="16"/>
      <c r="M130" s="16"/>
      <c r="N130" s="17"/>
      <c r="O130" s="67" t="s">
        <v>136</v>
      </c>
      <c r="P130" s="16"/>
      <c r="Q130" s="17"/>
      <c r="R130" s="68"/>
      <c r="S130" s="17"/>
      <c r="T130" s="69" t="s">
        <v>137</v>
      </c>
      <c r="U130" s="17"/>
      <c r="V130" s="68"/>
      <c r="W130" s="17"/>
      <c r="X130" s="68"/>
      <c r="Y130" s="17"/>
    </row>
    <row r="131" ht="33.0" customHeight="1">
      <c r="A131" s="80">
        <v>3.0</v>
      </c>
      <c r="B131" s="65" t="s">
        <v>239</v>
      </c>
      <c r="C131" s="66" t="s">
        <v>240</v>
      </c>
      <c r="D131" s="16"/>
      <c r="E131" s="16"/>
      <c r="F131" s="17"/>
      <c r="G131" s="58" t="s">
        <v>135</v>
      </c>
      <c r="H131" s="16"/>
      <c r="I131" s="16"/>
      <c r="J131" s="17"/>
      <c r="K131" s="67">
        <v>15.0</v>
      </c>
      <c r="L131" s="16"/>
      <c r="M131" s="16"/>
      <c r="N131" s="17"/>
      <c r="O131" s="67" t="s">
        <v>136</v>
      </c>
      <c r="P131" s="16"/>
      <c r="Q131" s="17"/>
      <c r="R131" s="68"/>
      <c r="S131" s="17"/>
      <c r="T131" s="69" t="s">
        <v>137</v>
      </c>
      <c r="U131" s="17"/>
      <c r="V131" s="68"/>
      <c r="W131" s="17"/>
      <c r="X131" s="68"/>
      <c r="Y131" s="17"/>
    </row>
    <row r="132" ht="33.0" customHeight="1">
      <c r="A132" s="80">
        <v>4.0</v>
      </c>
      <c r="B132" s="65" t="s">
        <v>217</v>
      </c>
      <c r="C132" s="66" t="s">
        <v>241</v>
      </c>
      <c r="D132" s="16"/>
      <c r="E132" s="16"/>
      <c r="F132" s="17"/>
      <c r="G132" s="62" t="s">
        <v>135</v>
      </c>
      <c r="H132" s="16"/>
      <c r="I132" s="16"/>
      <c r="J132" s="17"/>
      <c r="K132" s="67">
        <v>10.0</v>
      </c>
      <c r="L132" s="16"/>
      <c r="M132" s="16"/>
      <c r="N132" s="17"/>
      <c r="O132" s="67" t="s">
        <v>136</v>
      </c>
      <c r="P132" s="16"/>
      <c r="Q132" s="17"/>
      <c r="R132" s="68"/>
      <c r="S132" s="17"/>
      <c r="T132" s="69" t="s">
        <v>137</v>
      </c>
      <c r="U132" s="17"/>
      <c r="V132" s="68"/>
      <c r="W132" s="17"/>
      <c r="X132" s="68"/>
      <c r="Y132" s="17"/>
    </row>
    <row r="133" ht="33.0" customHeight="1">
      <c r="A133" s="80">
        <v>5.0</v>
      </c>
      <c r="B133" s="65" t="s">
        <v>242</v>
      </c>
      <c r="C133" s="66" t="s">
        <v>243</v>
      </c>
      <c r="D133" s="16"/>
      <c r="E133" s="16"/>
      <c r="F133" s="17"/>
      <c r="G133" s="62" t="s">
        <v>92</v>
      </c>
      <c r="H133" s="16"/>
      <c r="I133" s="16"/>
      <c r="J133" s="17"/>
      <c r="K133" s="67">
        <v>10.0</v>
      </c>
      <c r="L133" s="16"/>
      <c r="M133" s="16"/>
      <c r="N133" s="17"/>
      <c r="O133" s="67" t="s">
        <v>136</v>
      </c>
      <c r="P133" s="16"/>
      <c r="Q133" s="17"/>
      <c r="R133" s="68"/>
      <c r="S133" s="17"/>
      <c r="T133" s="68"/>
      <c r="U133" s="17"/>
      <c r="V133" s="68"/>
      <c r="W133" s="17"/>
      <c r="X133" s="68"/>
      <c r="Y133" s="17"/>
    </row>
    <row r="134" ht="33.0" customHeight="1">
      <c r="A134" s="80">
        <v>6.0</v>
      </c>
      <c r="B134" s="65" t="s">
        <v>244</v>
      </c>
      <c r="C134" s="66" t="s">
        <v>245</v>
      </c>
      <c r="D134" s="16"/>
      <c r="E134" s="16"/>
      <c r="F134" s="17"/>
      <c r="G134" s="62" t="s">
        <v>110</v>
      </c>
      <c r="H134" s="16"/>
      <c r="I134" s="16"/>
      <c r="J134" s="17"/>
      <c r="K134" s="62">
        <v>10.0</v>
      </c>
      <c r="L134" s="16"/>
      <c r="M134" s="16"/>
      <c r="N134" s="17"/>
      <c r="O134" s="67" t="s">
        <v>136</v>
      </c>
      <c r="P134" s="16"/>
      <c r="Q134" s="17"/>
      <c r="R134" s="68"/>
      <c r="S134" s="17"/>
      <c r="T134" s="68"/>
      <c r="U134" s="17"/>
      <c r="V134" s="68"/>
      <c r="W134" s="17"/>
      <c r="X134" s="68"/>
      <c r="Y134" s="17"/>
    </row>
    <row r="135" ht="32.25" customHeight="1">
      <c r="A135" s="82"/>
      <c r="B135" s="83"/>
      <c r="C135" s="83"/>
      <c r="G135" s="83"/>
      <c r="K135" s="83"/>
      <c r="O135" s="83"/>
      <c r="R135" s="83"/>
      <c r="T135" s="83"/>
      <c r="V135" s="83"/>
      <c r="X135" s="83"/>
    </row>
    <row r="136" ht="33.0" customHeight="1">
      <c r="A136" s="72">
        <v>15.0</v>
      </c>
      <c r="B136" s="76" t="s">
        <v>2</v>
      </c>
      <c r="C136" s="95" t="s">
        <v>33</v>
      </c>
      <c r="D136" s="16"/>
      <c r="E136" s="16"/>
      <c r="F136" s="17"/>
      <c r="G136" s="76" t="s">
        <v>3</v>
      </c>
      <c r="H136" s="16"/>
      <c r="I136" s="16"/>
      <c r="J136" s="17"/>
      <c r="K136" s="77" t="s">
        <v>34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7"/>
      <c r="X136" s="78" t="s">
        <v>123</v>
      </c>
      <c r="Y136" s="55">
        <v>46023.0</v>
      </c>
    </row>
    <row r="137" ht="33.0" customHeight="1">
      <c r="A137" s="78" t="s">
        <v>1</v>
      </c>
      <c r="B137" s="78" t="s">
        <v>124</v>
      </c>
      <c r="C137" s="76" t="s">
        <v>125</v>
      </c>
      <c r="D137" s="16"/>
      <c r="E137" s="16"/>
      <c r="F137" s="17"/>
      <c r="G137" s="76" t="s">
        <v>158</v>
      </c>
      <c r="H137" s="16"/>
      <c r="I137" s="16"/>
      <c r="J137" s="17"/>
      <c r="K137" s="76" t="s">
        <v>127</v>
      </c>
      <c r="L137" s="16"/>
      <c r="M137" s="16"/>
      <c r="N137" s="17"/>
      <c r="O137" s="76" t="s">
        <v>128</v>
      </c>
      <c r="P137" s="16"/>
      <c r="Q137" s="17"/>
      <c r="R137" s="76" t="s">
        <v>129</v>
      </c>
      <c r="S137" s="17"/>
      <c r="T137" s="76" t="s">
        <v>130</v>
      </c>
      <c r="U137" s="17"/>
      <c r="V137" s="76" t="s">
        <v>131</v>
      </c>
      <c r="W137" s="17"/>
      <c r="X137" s="76" t="s">
        <v>132</v>
      </c>
      <c r="Y137" s="17"/>
    </row>
    <row r="138" ht="33.0" customHeight="1">
      <c r="A138" s="80">
        <v>1.0</v>
      </c>
      <c r="B138" s="65" t="s">
        <v>189</v>
      </c>
      <c r="C138" s="66" t="s">
        <v>190</v>
      </c>
      <c r="D138" s="16"/>
      <c r="E138" s="16"/>
      <c r="F138" s="17"/>
      <c r="G138" s="62" t="s">
        <v>59</v>
      </c>
      <c r="H138" s="16"/>
      <c r="I138" s="16"/>
      <c r="J138" s="17"/>
      <c r="K138" s="67">
        <v>5.0</v>
      </c>
      <c r="L138" s="16"/>
      <c r="M138" s="16"/>
      <c r="N138" s="17"/>
      <c r="O138" s="67" t="s">
        <v>136</v>
      </c>
      <c r="P138" s="16"/>
      <c r="Q138" s="17"/>
      <c r="R138" s="69" t="s">
        <v>137</v>
      </c>
      <c r="S138" s="17"/>
      <c r="T138" s="68"/>
      <c r="U138" s="17"/>
      <c r="V138" s="68"/>
      <c r="W138" s="17"/>
      <c r="X138" s="68"/>
      <c r="Y138" s="17"/>
    </row>
    <row r="139" ht="33.0" customHeight="1">
      <c r="A139" s="80">
        <v>2.0</v>
      </c>
      <c r="B139" s="65" t="s">
        <v>133</v>
      </c>
      <c r="C139" s="66" t="s">
        <v>204</v>
      </c>
      <c r="D139" s="16"/>
      <c r="E139" s="16"/>
      <c r="F139" s="17"/>
      <c r="G139" s="58" t="s">
        <v>135</v>
      </c>
      <c r="H139" s="16"/>
      <c r="I139" s="16"/>
      <c r="J139" s="17"/>
      <c r="K139" s="67">
        <v>15.0</v>
      </c>
      <c r="L139" s="16"/>
      <c r="M139" s="16"/>
      <c r="N139" s="17"/>
      <c r="O139" s="67" t="s">
        <v>136</v>
      </c>
      <c r="P139" s="16"/>
      <c r="Q139" s="17"/>
      <c r="R139" s="68"/>
      <c r="S139" s="17"/>
      <c r="T139" s="69" t="s">
        <v>137</v>
      </c>
      <c r="U139" s="17"/>
      <c r="V139" s="68"/>
      <c r="W139" s="17"/>
      <c r="X139" s="68"/>
      <c r="Y139" s="17"/>
    </row>
    <row r="140" ht="33.0" customHeight="1">
      <c r="A140" s="80">
        <v>3.0</v>
      </c>
      <c r="B140" s="65" t="s">
        <v>246</v>
      </c>
      <c r="C140" s="66" t="s">
        <v>247</v>
      </c>
      <c r="D140" s="16"/>
      <c r="E140" s="16"/>
      <c r="F140" s="17"/>
      <c r="G140" s="62" t="s">
        <v>110</v>
      </c>
      <c r="H140" s="16"/>
      <c r="I140" s="16"/>
      <c r="J140" s="17"/>
      <c r="K140" s="67">
        <v>20.0</v>
      </c>
      <c r="L140" s="16"/>
      <c r="M140" s="16"/>
      <c r="N140" s="17"/>
      <c r="O140" s="67" t="s">
        <v>136</v>
      </c>
      <c r="P140" s="16"/>
      <c r="Q140" s="17"/>
      <c r="R140" s="68"/>
      <c r="S140" s="17"/>
      <c r="T140" s="68"/>
      <c r="U140" s="17"/>
      <c r="V140" s="68"/>
      <c r="W140" s="17"/>
      <c r="X140" s="68"/>
      <c r="Y140" s="17"/>
    </row>
    <row r="141" ht="33.0" customHeight="1">
      <c r="A141" s="80">
        <v>4.0</v>
      </c>
      <c r="B141" s="65" t="s">
        <v>248</v>
      </c>
      <c r="C141" s="66" t="s">
        <v>249</v>
      </c>
      <c r="D141" s="16"/>
      <c r="E141" s="16"/>
      <c r="F141" s="17"/>
      <c r="G141" s="62" t="s">
        <v>110</v>
      </c>
      <c r="H141" s="16"/>
      <c r="I141" s="16"/>
      <c r="J141" s="17"/>
      <c r="K141" s="67">
        <v>200.0</v>
      </c>
      <c r="L141" s="16"/>
      <c r="M141" s="16"/>
      <c r="N141" s="17"/>
      <c r="O141" s="67" t="s">
        <v>136</v>
      </c>
      <c r="P141" s="16"/>
      <c r="Q141" s="17"/>
      <c r="R141" s="68"/>
      <c r="S141" s="17"/>
      <c r="T141" s="68"/>
      <c r="U141" s="17"/>
      <c r="V141" s="68"/>
      <c r="W141" s="17"/>
      <c r="X141" s="68"/>
      <c r="Y141" s="17"/>
    </row>
    <row r="142" ht="33.0" customHeight="1">
      <c r="A142" s="80">
        <v>5.0</v>
      </c>
      <c r="B142" s="65" t="s">
        <v>250</v>
      </c>
      <c r="C142" s="66" t="s">
        <v>251</v>
      </c>
      <c r="D142" s="16"/>
      <c r="E142" s="16"/>
      <c r="F142" s="17"/>
      <c r="G142" s="62" t="s">
        <v>252</v>
      </c>
      <c r="H142" s="16"/>
      <c r="I142" s="16"/>
      <c r="J142" s="17"/>
      <c r="K142" s="67">
        <v>255.0</v>
      </c>
      <c r="L142" s="16"/>
      <c r="M142" s="16"/>
      <c r="N142" s="17"/>
      <c r="O142" s="67" t="s">
        <v>142</v>
      </c>
      <c r="P142" s="16"/>
      <c r="Q142" s="17"/>
      <c r="R142" s="68"/>
      <c r="S142" s="17"/>
      <c r="T142" s="68"/>
      <c r="U142" s="17"/>
      <c r="V142" s="69" t="s">
        <v>137</v>
      </c>
      <c r="W142" s="17"/>
      <c r="X142" s="68"/>
      <c r="Y142" s="17"/>
    </row>
    <row r="143" ht="33.0" customHeight="1">
      <c r="A143" s="19">
        <v>6.0</v>
      </c>
      <c r="B143" s="65" t="s">
        <v>178</v>
      </c>
      <c r="C143" s="66" t="s">
        <v>253</v>
      </c>
      <c r="D143" s="16"/>
      <c r="E143" s="16"/>
      <c r="F143" s="17"/>
      <c r="G143" s="62" t="s">
        <v>92</v>
      </c>
      <c r="H143" s="16"/>
      <c r="I143" s="16"/>
      <c r="J143" s="17"/>
      <c r="K143" s="67">
        <v>10.0</v>
      </c>
      <c r="L143" s="16"/>
      <c r="M143" s="16"/>
      <c r="N143" s="17"/>
      <c r="O143" s="67" t="s">
        <v>136</v>
      </c>
      <c r="P143" s="16"/>
      <c r="Q143" s="17"/>
      <c r="R143" s="68"/>
      <c r="S143" s="17"/>
      <c r="T143" s="68"/>
      <c r="U143" s="17"/>
      <c r="V143" s="68"/>
      <c r="W143" s="17"/>
      <c r="X143" s="68"/>
      <c r="Y143" s="17"/>
    </row>
    <row r="144" ht="33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ht="33.0" customHeight="1">
      <c r="A145" s="72">
        <v>16.0</v>
      </c>
      <c r="B145" s="76" t="s">
        <v>2</v>
      </c>
      <c r="C145" s="73" t="s">
        <v>35</v>
      </c>
      <c r="D145" s="16"/>
      <c r="E145" s="16"/>
      <c r="F145" s="17"/>
      <c r="G145" s="76" t="s">
        <v>3</v>
      </c>
      <c r="H145" s="16"/>
      <c r="I145" s="16"/>
      <c r="J145" s="17"/>
      <c r="K145" s="77" t="s">
        <v>254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7"/>
      <c r="X145" s="78" t="s">
        <v>123</v>
      </c>
      <c r="Y145" s="55">
        <v>46023.0</v>
      </c>
    </row>
    <row r="146" ht="33.0" customHeight="1">
      <c r="A146" s="78" t="s">
        <v>1</v>
      </c>
      <c r="B146" s="78" t="s">
        <v>124</v>
      </c>
      <c r="C146" s="76" t="s">
        <v>125</v>
      </c>
      <c r="D146" s="16"/>
      <c r="E146" s="16"/>
      <c r="F146" s="17"/>
      <c r="G146" s="76" t="s">
        <v>158</v>
      </c>
      <c r="H146" s="16"/>
      <c r="I146" s="16"/>
      <c r="J146" s="17"/>
      <c r="K146" s="76" t="s">
        <v>127</v>
      </c>
      <c r="L146" s="16"/>
      <c r="M146" s="16"/>
      <c r="N146" s="17"/>
      <c r="O146" s="76" t="s">
        <v>128</v>
      </c>
      <c r="P146" s="16"/>
      <c r="Q146" s="17"/>
      <c r="R146" s="76" t="s">
        <v>129</v>
      </c>
      <c r="S146" s="17"/>
      <c r="T146" s="76" t="s">
        <v>130</v>
      </c>
      <c r="U146" s="17"/>
      <c r="V146" s="76" t="s">
        <v>131</v>
      </c>
      <c r="W146" s="17"/>
      <c r="X146" s="76" t="s">
        <v>132</v>
      </c>
      <c r="Y146" s="17"/>
    </row>
    <row r="147" ht="33.0" customHeight="1">
      <c r="A147" s="80">
        <v>1.0</v>
      </c>
      <c r="B147" s="65" t="s">
        <v>255</v>
      </c>
      <c r="C147" s="66" t="s">
        <v>256</v>
      </c>
      <c r="D147" s="16"/>
      <c r="E147" s="16"/>
      <c r="F147" s="17"/>
      <c r="G147" s="62" t="s">
        <v>135</v>
      </c>
      <c r="H147" s="16"/>
      <c r="I147" s="16"/>
      <c r="J147" s="17"/>
      <c r="K147" s="67">
        <v>10.0</v>
      </c>
      <c r="L147" s="16"/>
      <c r="M147" s="16"/>
      <c r="N147" s="17"/>
      <c r="O147" s="67" t="s">
        <v>136</v>
      </c>
      <c r="P147" s="16"/>
      <c r="Q147" s="17"/>
      <c r="R147" s="68"/>
      <c r="S147" s="17"/>
      <c r="T147" s="69" t="s">
        <v>137</v>
      </c>
      <c r="U147" s="17"/>
      <c r="V147" s="68"/>
      <c r="W147" s="17"/>
      <c r="X147" s="68"/>
      <c r="Y147" s="17"/>
    </row>
    <row r="148" ht="33.0" customHeight="1">
      <c r="A148" s="80">
        <v>2.0</v>
      </c>
      <c r="B148" s="65" t="s">
        <v>133</v>
      </c>
      <c r="C148" s="66" t="s">
        <v>204</v>
      </c>
      <c r="D148" s="16"/>
      <c r="E148" s="16"/>
      <c r="F148" s="17"/>
      <c r="G148" s="62" t="s">
        <v>135</v>
      </c>
      <c r="H148" s="16"/>
      <c r="I148" s="16"/>
      <c r="J148" s="17"/>
      <c r="K148" s="67">
        <v>10.0</v>
      </c>
      <c r="L148" s="16"/>
      <c r="M148" s="16"/>
      <c r="N148" s="17"/>
      <c r="O148" s="67" t="s">
        <v>136</v>
      </c>
      <c r="P148" s="16"/>
      <c r="Q148" s="17"/>
      <c r="R148" s="68"/>
      <c r="S148" s="17"/>
      <c r="T148" s="69" t="s">
        <v>137</v>
      </c>
      <c r="U148" s="17"/>
      <c r="V148" s="68"/>
      <c r="W148" s="17"/>
      <c r="X148" s="68"/>
      <c r="Y148" s="17"/>
    </row>
    <row r="149" ht="33.0" customHeight="1">
      <c r="A149" s="80">
        <v>3.0</v>
      </c>
      <c r="B149" s="65" t="s">
        <v>257</v>
      </c>
      <c r="C149" s="66" t="s">
        <v>258</v>
      </c>
      <c r="D149" s="16"/>
      <c r="E149" s="16"/>
      <c r="F149" s="17"/>
      <c r="G149" s="62" t="s">
        <v>59</v>
      </c>
      <c r="H149" s="16"/>
      <c r="I149" s="16"/>
      <c r="J149" s="17"/>
      <c r="K149" s="67">
        <v>10.0</v>
      </c>
      <c r="L149" s="16"/>
      <c r="M149" s="16"/>
      <c r="N149" s="17"/>
      <c r="O149" s="67" t="s">
        <v>136</v>
      </c>
      <c r="P149" s="16"/>
      <c r="Q149" s="17"/>
      <c r="R149" s="69" t="s">
        <v>137</v>
      </c>
      <c r="S149" s="17"/>
      <c r="T149" s="68"/>
      <c r="U149" s="17"/>
      <c r="V149" s="68"/>
      <c r="W149" s="17"/>
      <c r="X149" s="68"/>
      <c r="Y149" s="17"/>
    </row>
    <row r="150" ht="33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ht="33.0" customHeight="1">
      <c r="A151" s="72">
        <v>17.0</v>
      </c>
      <c r="B151" s="76" t="s">
        <v>2</v>
      </c>
      <c r="C151" s="69" t="s">
        <v>37</v>
      </c>
      <c r="D151" s="16"/>
      <c r="E151" s="16"/>
      <c r="F151" s="17"/>
      <c r="G151" s="76" t="s">
        <v>3</v>
      </c>
      <c r="H151" s="16"/>
      <c r="I151" s="16"/>
      <c r="J151" s="17"/>
      <c r="K151" s="77" t="s">
        <v>38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7"/>
      <c r="X151" s="78" t="s">
        <v>123</v>
      </c>
      <c r="Y151" s="55">
        <v>46023.0</v>
      </c>
    </row>
    <row r="152" ht="33.0" customHeight="1">
      <c r="A152" s="78" t="s">
        <v>1</v>
      </c>
      <c r="B152" s="78" t="s">
        <v>124</v>
      </c>
      <c r="C152" s="76" t="s">
        <v>125</v>
      </c>
      <c r="D152" s="16"/>
      <c r="E152" s="16"/>
      <c r="F152" s="17"/>
      <c r="G152" s="76" t="s">
        <v>158</v>
      </c>
      <c r="H152" s="16"/>
      <c r="I152" s="16"/>
      <c r="J152" s="17"/>
      <c r="K152" s="76" t="s">
        <v>127</v>
      </c>
      <c r="L152" s="16"/>
      <c r="M152" s="16"/>
      <c r="N152" s="17"/>
      <c r="O152" s="76" t="s">
        <v>128</v>
      </c>
      <c r="P152" s="16"/>
      <c r="Q152" s="17"/>
      <c r="R152" s="76" t="s">
        <v>129</v>
      </c>
      <c r="S152" s="17"/>
      <c r="T152" s="76" t="s">
        <v>130</v>
      </c>
      <c r="U152" s="17"/>
      <c r="V152" s="76" t="s">
        <v>131</v>
      </c>
      <c r="W152" s="17"/>
      <c r="X152" s="76" t="s">
        <v>132</v>
      </c>
      <c r="Y152" s="17"/>
    </row>
    <row r="153" ht="33.0" customHeight="1">
      <c r="A153" s="80">
        <v>1.0</v>
      </c>
      <c r="B153" s="65" t="s">
        <v>259</v>
      </c>
      <c r="C153" s="66" t="s">
        <v>220</v>
      </c>
      <c r="D153" s="16"/>
      <c r="E153" s="16"/>
      <c r="F153" s="17"/>
      <c r="G153" s="62" t="s">
        <v>59</v>
      </c>
      <c r="H153" s="16"/>
      <c r="I153" s="16"/>
      <c r="J153" s="17"/>
      <c r="K153" s="67">
        <v>10.0</v>
      </c>
      <c r="L153" s="16"/>
      <c r="M153" s="16"/>
      <c r="N153" s="17"/>
      <c r="O153" s="67" t="s">
        <v>136</v>
      </c>
      <c r="P153" s="16"/>
      <c r="Q153" s="17"/>
      <c r="R153" s="69" t="s">
        <v>137</v>
      </c>
      <c r="S153" s="17"/>
      <c r="T153" s="68"/>
      <c r="U153" s="17"/>
      <c r="V153" s="68"/>
      <c r="W153" s="17"/>
      <c r="X153" s="68"/>
      <c r="Y153" s="17"/>
    </row>
    <row r="154" ht="33.0" customHeight="1">
      <c r="A154" s="80">
        <v>2.0</v>
      </c>
      <c r="B154" s="65" t="s">
        <v>260</v>
      </c>
      <c r="C154" s="66" t="s">
        <v>204</v>
      </c>
      <c r="D154" s="16"/>
      <c r="E154" s="16"/>
      <c r="F154" s="17"/>
      <c r="G154" s="62" t="s">
        <v>135</v>
      </c>
      <c r="H154" s="16"/>
      <c r="I154" s="16"/>
      <c r="J154" s="17"/>
      <c r="K154" s="67">
        <v>15.0</v>
      </c>
      <c r="L154" s="16"/>
      <c r="M154" s="16"/>
      <c r="N154" s="17"/>
      <c r="O154" s="67" t="s">
        <v>136</v>
      </c>
      <c r="P154" s="16"/>
      <c r="Q154" s="17"/>
      <c r="R154" s="68"/>
      <c r="S154" s="17"/>
      <c r="T154" s="69" t="s">
        <v>137</v>
      </c>
      <c r="U154" s="17"/>
      <c r="V154" s="68"/>
      <c r="W154" s="17"/>
      <c r="X154" s="68"/>
      <c r="Y154" s="17"/>
    </row>
    <row r="155" ht="33.0" customHeight="1">
      <c r="A155" s="80">
        <v>3.0</v>
      </c>
      <c r="B155" s="65" t="s">
        <v>261</v>
      </c>
      <c r="C155" s="66" t="s">
        <v>262</v>
      </c>
      <c r="D155" s="16"/>
      <c r="E155" s="16"/>
      <c r="F155" s="17"/>
      <c r="G155" s="62" t="s">
        <v>135</v>
      </c>
      <c r="H155" s="16"/>
      <c r="I155" s="16"/>
      <c r="J155" s="17"/>
      <c r="K155" s="67">
        <v>15.0</v>
      </c>
      <c r="L155" s="16"/>
      <c r="M155" s="16"/>
      <c r="N155" s="17"/>
      <c r="O155" s="67" t="s">
        <v>136</v>
      </c>
      <c r="P155" s="16"/>
      <c r="Q155" s="17"/>
      <c r="R155" s="68"/>
      <c r="S155" s="17"/>
      <c r="T155" s="69" t="s">
        <v>137</v>
      </c>
      <c r="U155" s="17"/>
      <c r="V155" s="68"/>
      <c r="W155" s="17"/>
      <c r="X155" s="68"/>
      <c r="Y155" s="17"/>
    </row>
    <row r="156" ht="33.0" customHeight="1">
      <c r="A156" s="80">
        <v>4.0</v>
      </c>
      <c r="B156" s="65" t="s">
        <v>263</v>
      </c>
      <c r="C156" s="66" t="s">
        <v>264</v>
      </c>
      <c r="D156" s="16"/>
      <c r="E156" s="16"/>
      <c r="F156" s="17"/>
      <c r="G156" s="62" t="s">
        <v>110</v>
      </c>
      <c r="H156" s="16"/>
      <c r="I156" s="16"/>
      <c r="J156" s="17"/>
      <c r="K156" s="67">
        <v>300.0</v>
      </c>
      <c r="L156" s="16"/>
      <c r="M156" s="16"/>
      <c r="N156" s="17"/>
      <c r="O156" s="67" t="s">
        <v>136</v>
      </c>
      <c r="P156" s="16"/>
      <c r="Q156" s="17"/>
      <c r="R156" s="68"/>
      <c r="S156" s="17"/>
      <c r="T156" s="68"/>
      <c r="U156" s="17"/>
      <c r="V156" s="68"/>
      <c r="W156" s="17"/>
      <c r="X156" s="68"/>
      <c r="Y156" s="17"/>
    </row>
    <row r="157" ht="33.0" customHeight="1">
      <c r="A157" s="80">
        <v>5.0</v>
      </c>
      <c r="B157" s="65" t="s">
        <v>265</v>
      </c>
      <c r="C157" s="66" t="s">
        <v>266</v>
      </c>
      <c r="D157" s="16"/>
      <c r="E157" s="16"/>
      <c r="F157" s="17"/>
      <c r="G157" s="62" t="s">
        <v>92</v>
      </c>
      <c r="H157" s="16"/>
      <c r="I157" s="16"/>
      <c r="J157" s="17"/>
      <c r="K157" s="67">
        <v>10.0</v>
      </c>
      <c r="L157" s="16"/>
      <c r="M157" s="16"/>
      <c r="N157" s="17"/>
      <c r="O157" s="67" t="s">
        <v>136</v>
      </c>
      <c r="P157" s="16"/>
      <c r="Q157" s="17"/>
      <c r="R157" s="68"/>
      <c r="S157" s="17"/>
      <c r="T157" s="68"/>
      <c r="U157" s="17"/>
      <c r="V157" s="68"/>
      <c r="W157" s="17"/>
      <c r="X157" s="68"/>
      <c r="Y157" s="17"/>
    </row>
    <row r="158" ht="33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ht="33.0" customHeight="1">
      <c r="A159" s="72">
        <v>18.0</v>
      </c>
      <c r="B159" s="76" t="s">
        <v>2</v>
      </c>
      <c r="C159" s="95" t="s">
        <v>267</v>
      </c>
      <c r="D159" s="16"/>
      <c r="E159" s="16"/>
      <c r="F159" s="17"/>
      <c r="G159" s="76" t="s">
        <v>3</v>
      </c>
      <c r="H159" s="16"/>
      <c r="I159" s="16"/>
      <c r="J159" s="17"/>
      <c r="K159" s="77" t="s">
        <v>40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7"/>
      <c r="X159" s="78" t="s">
        <v>123</v>
      </c>
      <c r="Y159" s="55">
        <v>46023.0</v>
      </c>
    </row>
    <row r="160" ht="33.0" customHeight="1">
      <c r="A160" s="78" t="s">
        <v>1</v>
      </c>
      <c r="B160" s="78" t="s">
        <v>124</v>
      </c>
      <c r="C160" s="76" t="s">
        <v>125</v>
      </c>
      <c r="D160" s="16"/>
      <c r="E160" s="16"/>
      <c r="F160" s="17"/>
      <c r="G160" s="76" t="s">
        <v>158</v>
      </c>
      <c r="H160" s="16"/>
      <c r="I160" s="16"/>
      <c r="J160" s="17"/>
      <c r="K160" s="76" t="s">
        <v>127</v>
      </c>
      <c r="L160" s="16"/>
      <c r="M160" s="16"/>
      <c r="N160" s="17"/>
      <c r="O160" s="76" t="s">
        <v>128</v>
      </c>
      <c r="P160" s="16"/>
      <c r="Q160" s="17"/>
      <c r="R160" s="76" t="s">
        <v>129</v>
      </c>
      <c r="S160" s="17"/>
      <c r="T160" s="76" t="s">
        <v>130</v>
      </c>
      <c r="U160" s="17"/>
      <c r="V160" s="76" t="s">
        <v>131</v>
      </c>
      <c r="W160" s="17"/>
      <c r="X160" s="76" t="s">
        <v>132</v>
      </c>
      <c r="Y160" s="17"/>
    </row>
    <row r="161" ht="33.0" customHeight="1">
      <c r="A161" s="80">
        <v>1.0</v>
      </c>
      <c r="B161" s="65" t="s">
        <v>260</v>
      </c>
      <c r="C161" s="66" t="s">
        <v>268</v>
      </c>
      <c r="D161" s="16"/>
      <c r="E161" s="16"/>
      <c r="F161" s="17"/>
      <c r="G161" s="62" t="s">
        <v>135</v>
      </c>
      <c r="H161" s="16"/>
      <c r="I161" s="16"/>
      <c r="J161" s="17"/>
      <c r="K161" s="67">
        <v>15.0</v>
      </c>
      <c r="L161" s="16"/>
      <c r="M161" s="16"/>
      <c r="N161" s="17"/>
      <c r="O161" s="67" t="s">
        <v>136</v>
      </c>
      <c r="P161" s="16"/>
      <c r="Q161" s="17"/>
      <c r="R161" s="68"/>
      <c r="S161" s="17"/>
      <c r="T161" s="69" t="s">
        <v>137</v>
      </c>
      <c r="U161" s="17"/>
      <c r="V161" s="68"/>
      <c r="W161" s="17"/>
      <c r="X161" s="68"/>
      <c r="Y161" s="17"/>
    </row>
    <row r="162" ht="33.0" customHeight="1">
      <c r="A162" s="80">
        <v>2.0</v>
      </c>
      <c r="B162" s="65" t="s">
        <v>269</v>
      </c>
      <c r="C162" s="66" t="s">
        <v>270</v>
      </c>
      <c r="D162" s="16"/>
      <c r="E162" s="16"/>
      <c r="F162" s="17"/>
      <c r="G162" s="62" t="s">
        <v>135</v>
      </c>
      <c r="H162" s="16"/>
      <c r="I162" s="16"/>
      <c r="J162" s="17"/>
      <c r="K162" s="67">
        <v>15.0</v>
      </c>
      <c r="L162" s="16"/>
      <c r="M162" s="16"/>
      <c r="N162" s="17"/>
      <c r="O162" s="67" t="s">
        <v>136</v>
      </c>
      <c r="P162" s="16"/>
      <c r="Q162" s="17"/>
      <c r="R162" s="68"/>
      <c r="S162" s="17"/>
      <c r="T162" s="69" t="s">
        <v>137</v>
      </c>
      <c r="U162" s="17"/>
      <c r="V162" s="68"/>
      <c r="W162" s="17"/>
      <c r="X162" s="68"/>
      <c r="Y162" s="17"/>
    </row>
    <row r="163" ht="33.0" customHeight="1">
      <c r="A163" s="80">
        <v>3.0</v>
      </c>
      <c r="B163" s="65" t="s">
        <v>271</v>
      </c>
      <c r="C163" s="66" t="s">
        <v>272</v>
      </c>
      <c r="D163" s="16"/>
      <c r="E163" s="16"/>
      <c r="F163" s="17"/>
      <c r="G163" s="62" t="s">
        <v>110</v>
      </c>
      <c r="H163" s="16"/>
      <c r="I163" s="16"/>
      <c r="J163" s="17"/>
      <c r="K163" s="67">
        <v>200.0</v>
      </c>
      <c r="L163" s="16"/>
      <c r="M163" s="16"/>
      <c r="N163" s="17"/>
      <c r="O163" s="67" t="s">
        <v>136</v>
      </c>
      <c r="P163" s="16"/>
      <c r="Q163" s="17"/>
      <c r="R163" s="68"/>
      <c r="S163" s="17"/>
      <c r="T163" s="68"/>
      <c r="U163" s="17"/>
      <c r="V163" s="68"/>
      <c r="W163" s="17"/>
      <c r="X163" s="68"/>
      <c r="Y163" s="17"/>
    </row>
    <row r="164" ht="33.0" customHeight="1">
      <c r="A164" s="80">
        <v>4.0</v>
      </c>
      <c r="B164" s="65" t="s">
        <v>273</v>
      </c>
      <c r="C164" s="66" t="s">
        <v>274</v>
      </c>
      <c r="D164" s="16"/>
      <c r="E164" s="16"/>
      <c r="F164" s="17"/>
      <c r="G164" s="62" t="s">
        <v>59</v>
      </c>
      <c r="H164" s="16"/>
      <c r="I164" s="16"/>
      <c r="J164" s="17"/>
      <c r="K164" s="67">
        <v>15.0</v>
      </c>
      <c r="L164" s="16"/>
      <c r="M164" s="16"/>
      <c r="N164" s="17"/>
      <c r="O164" s="67" t="s">
        <v>136</v>
      </c>
      <c r="P164" s="16"/>
      <c r="Q164" s="17"/>
      <c r="R164" s="69" t="s">
        <v>137</v>
      </c>
      <c r="S164" s="17"/>
      <c r="T164" s="68"/>
      <c r="U164" s="17"/>
      <c r="V164" s="68"/>
      <c r="W164" s="17"/>
      <c r="X164" s="68"/>
      <c r="Y164" s="17"/>
    </row>
    <row r="165" ht="33.0" customHeight="1">
      <c r="A165" s="80">
        <v>5.0</v>
      </c>
      <c r="B165" s="65" t="s">
        <v>275</v>
      </c>
      <c r="C165" s="66" t="s">
        <v>272</v>
      </c>
      <c r="D165" s="16"/>
      <c r="E165" s="16"/>
      <c r="F165" s="17"/>
      <c r="G165" s="62" t="s">
        <v>92</v>
      </c>
      <c r="H165" s="16"/>
      <c r="I165" s="16"/>
      <c r="J165" s="17"/>
      <c r="K165" s="67">
        <v>10.0</v>
      </c>
      <c r="L165" s="16"/>
      <c r="M165" s="16"/>
      <c r="N165" s="17"/>
      <c r="O165" s="67" t="s">
        <v>136</v>
      </c>
      <c r="P165" s="16"/>
      <c r="Q165" s="17"/>
      <c r="R165" s="68"/>
      <c r="S165" s="17"/>
      <c r="T165" s="68"/>
      <c r="U165" s="17"/>
      <c r="V165" s="68"/>
      <c r="W165" s="17"/>
      <c r="X165" s="68"/>
      <c r="Y165" s="17"/>
    </row>
    <row r="166" ht="33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ht="33.0" customHeight="1">
      <c r="A167" s="86">
        <v>19.0</v>
      </c>
      <c r="B167" s="76" t="s">
        <v>2</v>
      </c>
      <c r="C167" s="69" t="s">
        <v>41</v>
      </c>
      <c r="D167" s="16"/>
      <c r="E167" s="16"/>
      <c r="F167" s="17"/>
      <c r="G167" s="76" t="s">
        <v>3</v>
      </c>
      <c r="H167" s="16"/>
      <c r="I167" s="16"/>
      <c r="J167" s="17"/>
      <c r="K167" s="77" t="s">
        <v>276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7"/>
      <c r="X167" s="78" t="s">
        <v>123</v>
      </c>
      <c r="Y167" s="55">
        <v>46023.0</v>
      </c>
    </row>
    <row r="168" ht="33.0" customHeight="1">
      <c r="A168" s="78" t="s">
        <v>1</v>
      </c>
      <c r="B168" s="78" t="s">
        <v>124</v>
      </c>
      <c r="C168" s="76" t="s">
        <v>125</v>
      </c>
      <c r="D168" s="16"/>
      <c r="E168" s="16"/>
      <c r="F168" s="17"/>
      <c r="G168" s="79" t="s">
        <v>158</v>
      </c>
      <c r="H168" s="16"/>
      <c r="I168" s="16"/>
      <c r="J168" s="17"/>
      <c r="K168" s="76" t="s">
        <v>127</v>
      </c>
      <c r="L168" s="16"/>
      <c r="M168" s="16"/>
      <c r="N168" s="17"/>
      <c r="O168" s="76" t="s">
        <v>128</v>
      </c>
      <c r="P168" s="16"/>
      <c r="Q168" s="17"/>
      <c r="R168" s="76" t="s">
        <v>129</v>
      </c>
      <c r="S168" s="17"/>
      <c r="T168" s="76" t="s">
        <v>130</v>
      </c>
      <c r="U168" s="17"/>
      <c r="V168" s="76" t="s">
        <v>131</v>
      </c>
      <c r="W168" s="17"/>
      <c r="X168" s="76" t="s">
        <v>132</v>
      </c>
      <c r="Y168" s="17"/>
    </row>
    <row r="169" ht="33.0" customHeight="1">
      <c r="A169" s="80">
        <v>1.0</v>
      </c>
      <c r="B169" s="96" t="s">
        <v>277</v>
      </c>
      <c r="C169" s="66" t="s">
        <v>278</v>
      </c>
      <c r="D169" s="16"/>
      <c r="E169" s="16"/>
      <c r="F169" s="17"/>
      <c r="G169" s="62" t="s">
        <v>59</v>
      </c>
      <c r="H169" s="16"/>
      <c r="I169" s="16"/>
      <c r="J169" s="17"/>
      <c r="K169" s="67">
        <v>5.0</v>
      </c>
      <c r="L169" s="16"/>
      <c r="M169" s="16"/>
      <c r="N169" s="17"/>
      <c r="O169" s="67" t="s">
        <v>136</v>
      </c>
      <c r="P169" s="16"/>
      <c r="Q169" s="17"/>
      <c r="R169" s="69" t="s">
        <v>137</v>
      </c>
      <c r="S169" s="17"/>
      <c r="T169" s="68"/>
      <c r="U169" s="17"/>
      <c r="V169" s="68"/>
      <c r="W169" s="17"/>
      <c r="X169" s="68"/>
      <c r="Y169" s="17"/>
    </row>
    <row r="170" ht="33.0" customHeight="1">
      <c r="A170" s="80">
        <v>2.0</v>
      </c>
      <c r="B170" s="96" t="s">
        <v>133</v>
      </c>
      <c r="C170" s="66" t="s">
        <v>134</v>
      </c>
      <c r="D170" s="16"/>
      <c r="E170" s="16"/>
      <c r="F170" s="17"/>
      <c r="G170" s="62" t="s">
        <v>135</v>
      </c>
      <c r="H170" s="16"/>
      <c r="I170" s="16"/>
      <c r="J170" s="17"/>
      <c r="K170" s="67">
        <v>15.0</v>
      </c>
      <c r="L170" s="16"/>
      <c r="M170" s="16"/>
      <c r="N170" s="17"/>
      <c r="O170" s="67" t="s">
        <v>136</v>
      </c>
      <c r="P170" s="16"/>
      <c r="Q170" s="17"/>
      <c r="R170" s="68"/>
      <c r="S170" s="17"/>
      <c r="T170" s="69" t="s">
        <v>137</v>
      </c>
      <c r="U170" s="17"/>
      <c r="V170" s="68"/>
      <c r="W170" s="17"/>
      <c r="X170" s="68"/>
      <c r="Y170" s="17"/>
    </row>
    <row r="171" ht="33.0" customHeight="1">
      <c r="A171" s="80">
        <v>3.0</v>
      </c>
      <c r="B171" s="96" t="s">
        <v>279</v>
      </c>
      <c r="C171" s="66" t="s">
        <v>280</v>
      </c>
      <c r="D171" s="16"/>
      <c r="E171" s="16"/>
      <c r="F171" s="17"/>
      <c r="G171" s="62" t="s">
        <v>92</v>
      </c>
      <c r="H171" s="16"/>
      <c r="I171" s="16"/>
      <c r="J171" s="17"/>
      <c r="K171" s="67">
        <v>10.0</v>
      </c>
      <c r="L171" s="16"/>
      <c r="M171" s="16"/>
      <c r="N171" s="17"/>
      <c r="O171" s="67" t="s">
        <v>136</v>
      </c>
      <c r="P171" s="16"/>
      <c r="Q171" s="17"/>
      <c r="R171" s="68"/>
      <c r="S171" s="17"/>
      <c r="T171" s="68"/>
      <c r="U171" s="17"/>
      <c r="V171" s="68"/>
      <c r="W171" s="17"/>
      <c r="X171" s="68"/>
      <c r="Y171" s="17"/>
    </row>
    <row r="172" ht="33.0" customHeight="1">
      <c r="A172" s="80">
        <v>4.0</v>
      </c>
      <c r="B172" s="96" t="s">
        <v>281</v>
      </c>
      <c r="C172" s="66" t="s">
        <v>282</v>
      </c>
      <c r="D172" s="16"/>
      <c r="E172" s="16"/>
      <c r="F172" s="17"/>
      <c r="G172" s="62" t="s">
        <v>110</v>
      </c>
      <c r="H172" s="16"/>
      <c r="I172" s="16"/>
      <c r="J172" s="17"/>
      <c r="K172" s="67">
        <v>10.0</v>
      </c>
      <c r="L172" s="16"/>
      <c r="M172" s="16"/>
      <c r="N172" s="17"/>
      <c r="O172" s="67" t="s">
        <v>142</v>
      </c>
      <c r="P172" s="16"/>
      <c r="Q172" s="17"/>
      <c r="R172" s="68"/>
      <c r="S172" s="17"/>
      <c r="T172" s="68"/>
      <c r="U172" s="17"/>
      <c r="V172" s="68"/>
      <c r="W172" s="17"/>
      <c r="X172" s="68"/>
      <c r="Y172" s="17"/>
    </row>
    <row r="173" ht="33.0" customHeight="1">
      <c r="A173" s="80">
        <v>5.0</v>
      </c>
      <c r="B173" s="96" t="s">
        <v>283</v>
      </c>
      <c r="C173" s="66" t="s">
        <v>284</v>
      </c>
      <c r="D173" s="16"/>
      <c r="E173" s="16"/>
      <c r="F173" s="17"/>
      <c r="G173" s="62" t="s">
        <v>74</v>
      </c>
      <c r="H173" s="16"/>
      <c r="I173" s="16"/>
      <c r="J173" s="17"/>
      <c r="K173" s="67">
        <v>10.2</v>
      </c>
      <c r="L173" s="16"/>
      <c r="M173" s="16"/>
      <c r="N173" s="17"/>
      <c r="O173" s="67" t="s">
        <v>136</v>
      </c>
      <c r="P173" s="16"/>
      <c r="Q173" s="17"/>
      <c r="R173" s="68"/>
      <c r="S173" s="17"/>
      <c r="T173" s="68"/>
      <c r="U173" s="17"/>
      <c r="V173" s="68"/>
      <c r="W173" s="17"/>
      <c r="X173" s="68"/>
      <c r="Y173" s="17"/>
    </row>
    <row r="174" ht="33.0" customHeight="1">
      <c r="A174" s="83"/>
      <c r="B174" s="83"/>
      <c r="C174" s="83"/>
      <c r="G174" s="83"/>
      <c r="K174" s="83"/>
      <c r="O174" s="83"/>
      <c r="R174" s="83"/>
      <c r="T174" s="83"/>
      <c r="V174" s="83"/>
      <c r="X174" s="83"/>
    </row>
    <row r="175" ht="33.0" customHeight="1">
      <c r="A175" s="86">
        <v>20.0</v>
      </c>
      <c r="B175" s="76" t="s">
        <v>2</v>
      </c>
      <c r="C175" s="69" t="s">
        <v>43</v>
      </c>
      <c r="D175" s="16"/>
      <c r="E175" s="16"/>
      <c r="F175" s="17"/>
      <c r="G175" s="76" t="s">
        <v>3</v>
      </c>
      <c r="H175" s="16"/>
      <c r="I175" s="16"/>
      <c r="J175" s="17"/>
      <c r="K175" s="77" t="s">
        <v>285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7"/>
      <c r="X175" s="78" t="s">
        <v>123</v>
      </c>
      <c r="Y175" s="55">
        <v>46023.0</v>
      </c>
    </row>
    <row r="176" ht="33.0" customHeight="1">
      <c r="A176" s="78" t="s">
        <v>1</v>
      </c>
      <c r="B176" s="78" t="s">
        <v>124</v>
      </c>
      <c r="C176" s="76" t="s">
        <v>125</v>
      </c>
      <c r="D176" s="16"/>
      <c r="E176" s="16"/>
      <c r="F176" s="17"/>
      <c r="G176" s="79" t="s">
        <v>158</v>
      </c>
      <c r="H176" s="16"/>
      <c r="I176" s="16"/>
      <c r="J176" s="17"/>
      <c r="K176" s="76" t="s">
        <v>127</v>
      </c>
      <c r="L176" s="16"/>
      <c r="M176" s="16"/>
      <c r="N176" s="17"/>
      <c r="O176" s="76" t="s">
        <v>128</v>
      </c>
      <c r="P176" s="16"/>
      <c r="Q176" s="17"/>
      <c r="R176" s="76" t="s">
        <v>129</v>
      </c>
      <c r="S176" s="17"/>
      <c r="T176" s="76" t="s">
        <v>130</v>
      </c>
      <c r="U176" s="17"/>
      <c r="V176" s="76" t="s">
        <v>131</v>
      </c>
      <c r="W176" s="17"/>
      <c r="X176" s="76" t="s">
        <v>132</v>
      </c>
      <c r="Y176" s="17"/>
    </row>
    <row r="177" ht="33.0" customHeight="1">
      <c r="A177" s="80">
        <v>1.0</v>
      </c>
      <c r="B177" s="96" t="s">
        <v>133</v>
      </c>
      <c r="C177" s="66" t="s">
        <v>286</v>
      </c>
      <c r="D177" s="16"/>
      <c r="E177" s="16"/>
      <c r="F177" s="17"/>
      <c r="G177" s="62" t="s">
        <v>135</v>
      </c>
      <c r="H177" s="16"/>
      <c r="I177" s="16"/>
      <c r="J177" s="17"/>
      <c r="K177" s="67">
        <v>15.0</v>
      </c>
      <c r="L177" s="16"/>
      <c r="M177" s="16"/>
      <c r="N177" s="17"/>
      <c r="O177" s="67" t="s">
        <v>136</v>
      </c>
      <c r="P177" s="16"/>
      <c r="Q177" s="17"/>
      <c r="R177" s="68"/>
      <c r="S177" s="17"/>
      <c r="T177" s="69" t="s">
        <v>137</v>
      </c>
      <c r="U177" s="17"/>
      <c r="V177" s="68"/>
      <c r="W177" s="17"/>
      <c r="X177" s="68"/>
      <c r="Y177" s="17"/>
    </row>
    <row r="178" ht="33.0" customHeight="1">
      <c r="A178" s="80">
        <v>2.0</v>
      </c>
      <c r="B178" s="96" t="s">
        <v>191</v>
      </c>
      <c r="C178" s="66" t="s">
        <v>203</v>
      </c>
      <c r="D178" s="16"/>
      <c r="E178" s="16"/>
      <c r="F178" s="17"/>
      <c r="G178" s="62" t="s">
        <v>135</v>
      </c>
      <c r="H178" s="16"/>
      <c r="I178" s="16"/>
      <c r="J178" s="17"/>
      <c r="K178" s="67">
        <v>5.0</v>
      </c>
      <c r="L178" s="16"/>
      <c r="M178" s="16"/>
      <c r="N178" s="17"/>
      <c r="O178" s="67" t="s">
        <v>136</v>
      </c>
      <c r="P178" s="16"/>
      <c r="Q178" s="17"/>
      <c r="R178" s="68"/>
      <c r="S178" s="17"/>
      <c r="T178" s="69" t="s">
        <v>137</v>
      </c>
      <c r="U178" s="17"/>
      <c r="V178" s="68"/>
      <c r="W178" s="17"/>
      <c r="X178" s="68"/>
      <c r="Y178" s="17"/>
    </row>
    <row r="179" ht="33.0" customHeight="1">
      <c r="A179" s="80">
        <v>3.0</v>
      </c>
      <c r="B179" s="96" t="s">
        <v>287</v>
      </c>
      <c r="C179" s="66" t="s">
        <v>288</v>
      </c>
      <c r="D179" s="16"/>
      <c r="E179" s="16"/>
      <c r="F179" s="17"/>
      <c r="G179" s="62" t="s">
        <v>92</v>
      </c>
      <c r="H179" s="16"/>
      <c r="I179" s="16"/>
      <c r="J179" s="17"/>
      <c r="K179" s="67">
        <v>10.0</v>
      </c>
      <c r="L179" s="16"/>
      <c r="M179" s="16"/>
      <c r="N179" s="17"/>
      <c r="O179" s="67" t="s">
        <v>136</v>
      </c>
      <c r="P179" s="16"/>
      <c r="Q179" s="17"/>
      <c r="R179" s="68"/>
      <c r="S179" s="17"/>
      <c r="T179" s="68"/>
      <c r="U179" s="17"/>
      <c r="V179" s="68"/>
      <c r="W179" s="17"/>
      <c r="X179" s="68"/>
      <c r="Y179" s="17"/>
    </row>
    <row r="180" ht="33.0" customHeight="1">
      <c r="A180" s="82"/>
      <c r="B180" s="83"/>
      <c r="C180" s="83"/>
      <c r="G180" s="83"/>
      <c r="K180" s="83"/>
      <c r="O180" s="83"/>
      <c r="R180" s="83"/>
      <c r="T180" s="83"/>
      <c r="V180" s="83"/>
      <c r="X180" s="83"/>
    </row>
    <row r="181" ht="33.0" customHeight="1">
      <c r="A181" s="86">
        <v>21.0</v>
      </c>
      <c r="B181" s="76" t="s">
        <v>2</v>
      </c>
      <c r="C181" s="69" t="s">
        <v>45</v>
      </c>
      <c r="D181" s="16"/>
      <c r="E181" s="16"/>
      <c r="F181" s="17"/>
      <c r="G181" s="76" t="s">
        <v>3</v>
      </c>
      <c r="H181" s="16"/>
      <c r="I181" s="16"/>
      <c r="J181" s="17"/>
      <c r="K181" s="77" t="s">
        <v>289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7"/>
      <c r="X181" s="78" t="s">
        <v>123</v>
      </c>
      <c r="Y181" s="55">
        <v>46023.0</v>
      </c>
    </row>
    <row r="182" ht="33.0" customHeight="1">
      <c r="A182" s="78" t="s">
        <v>1</v>
      </c>
      <c r="B182" s="78" t="s">
        <v>124</v>
      </c>
      <c r="C182" s="76" t="s">
        <v>125</v>
      </c>
      <c r="D182" s="16"/>
      <c r="E182" s="16"/>
      <c r="F182" s="17"/>
      <c r="G182" s="79" t="s">
        <v>158</v>
      </c>
      <c r="H182" s="16"/>
      <c r="I182" s="16"/>
      <c r="J182" s="17"/>
      <c r="K182" s="76" t="s">
        <v>127</v>
      </c>
      <c r="L182" s="16"/>
      <c r="M182" s="16"/>
      <c r="N182" s="17"/>
      <c r="O182" s="76" t="s">
        <v>128</v>
      </c>
      <c r="P182" s="16"/>
      <c r="Q182" s="17"/>
      <c r="R182" s="76" t="s">
        <v>129</v>
      </c>
      <c r="S182" s="17"/>
      <c r="T182" s="76" t="s">
        <v>130</v>
      </c>
      <c r="U182" s="17"/>
      <c r="V182" s="76" t="s">
        <v>131</v>
      </c>
      <c r="W182" s="17"/>
      <c r="X182" s="76" t="s">
        <v>132</v>
      </c>
      <c r="Y182" s="17"/>
    </row>
    <row r="183" ht="33.0" customHeight="1">
      <c r="A183" s="80">
        <v>1.0</v>
      </c>
      <c r="B183" s="96" t="s">
        <v>133</v>
      </c>
      <c r="C183" s="66" t="s">
        <v>290</v>
      </c>
      <c r="D183" s="16"/>
      <c r="E183" s="16"/>
      <c r="F183" s="17"/>
      <c r="G183" s="62" t="s">
        <v>135</v>
      </c>
      <c r="H183" s="16"/>
      <c r="I183" s="16"/>
      <c r="J183" s="17"/>
      <c r="K183" s="67">
        <v>15.0</v>
      </c>
      <c r="L183" s="16"/>
      <c r="M183" s="16"/>
      <c r="N183" s="17"/>
      <c r="O183" s="67" t="s">
        <v>136</v>
      </c>
      <c r="P183" s="16"/>
      <c r="Q183" s="17"/>
      <c r="R183" s="68"/>
      <c r="S183" s="17"/>
      <c r="T183" s="69" t="s">
        <v>137</v>
      </c>
      <c r="U183" s="17"/>
      <c r="V183" s="68"/>
      <c r="W183" s="17"/>
      <c r="X183" s="68"/>
      <c r="Y183" s="17"/>
    </row>
    <row r="184" ht="33.0" customHeight="1">
      <c r="A184" s="80">
        <v>2.0</v>
      </c>
      <c r="B184" s="96" t="s">
        <v>232</v>
      </c>
      <c r="C184" s="66" t="s">
        <v>291</v>
      </c>
      <c r="D184" s="16"/>
      <c r="E184" s="16"/>
      <c r="F184" s="17"/>
      <c r="G184" s="62" t="s">
        <v>135</v>
      </c>
      <c r="H184" s="16"/>
      <c r="I184" s="16"/>
      <c r="J184" s="17"/>
      <c r="K184" s="67">
        <v>5.0</v>
      </c>
      <c r="L184" s="16"/>
      <c r="M184" s="16"/>
      <c r="N184" s="17"/>
      <c r="O184" s="67" t="s">
        <v>136</v>
      </c>
      <c r="P184" s="16"/>
      <c r="Q184" s="17"/>
      <c r="R184" s="68"/>
      <c r="S184" s="17"/>
      <c r="T184" s="69" t="s">
        <v>137</v>
      </c>
      <c r="U184" s="17"/>
      <c r="V184" s="68"/>
      <c r="W184" s="17"/>
      <c r="X184" s="68"/>
      <c r="Y184" s="17"/>
    </row>
    <row r="185" ht="33.0" customHeight="1">
      <c r="A185" s="80">
        <v>3.0</v>
      </c>
      <c r="B185" s="96" t="s">
        <v>292</v>
      </c>
      <c r="C185" s="66" t="s">
        <v>293</v>
      </c>
      <c r="D185" s="16"/>
      <c r="E185" s="16"/>
      <c r="F185" s="17"/>
      <c r="G185" s="62" t="s">
        <v>92</v>
      </c>
      <c r="H185" s="16"/>
      <c r="I185" s="16"/>
      <c r="J185" s="17"/>
      <c r="K185" s="67">
        <v>10.0</v>
      </c>
      <c r="L185" s="16"/>
      <c r="M185" s="16"/>
      <c r="N185" s="17"/>
      <c r="O185" s="67" t="s">
        <v>136</v>
      </c>
      <c r="P185" s="16"/>
      <c r="Q185" s="17"/>
      <c r="R185" s="68"/>
      <c r="S185" s="17"/>
      <c r="T185" s="68"/>
      <c r="U185" s="17"/>
      <c r="V185" s="68"/>
      <c r="W185" s="17"/>
      <c r="X185" s="68"/>
      <c r="Y185" s="17"/>
    </row>
    <row r="186" ht="33.0" customHeight="1">
      <c r="A186" s="82"/>
      <c r="B186" s="83"/>
      <c r="C186" s="83"/>
      <c r="G186" s="83"/>
      <c r="K186" s="83"/>
      <c r="O186" s="83"/>
      <c r="R186" s="83"/>
      <c r="T186" s="83"/>
      <c r="V186" s="83"/>
      <c r="X186" s="83"/>
    </row>
    <row r="187" ht="33.0" customHeight="1">
      <c r="A187" s="86">
        <v>22.0</v>
      </c>
      <c r="B187" s="76" t="s">
        <v>2</v>
      </c>
      <c r="C187" s="69" t="s">
        <v>47</v>
      </c>
      <c r="D187" s="16"/>
      <c r="E187" s="16"/>
      <c r="F187" s="17"/>
      <c r="G187" s="76" t="s">
        <v>3</v>
      </c>
      <c r="H187" s="16"/>
      <c r="I187" s="16"/>
      <c r="J187" s="17"/>
      <c r="K187" s="77" t="s">
        <v>289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7"/>
      <c r="X187" s="78" t="s">
        <v>123</v>
      </c>
      <c r="Y187" s="55">
        <v>46023.0</v>
      </c>
    </row>
    <row r="188" ht="33.0" customHeight="1">
      <c r="A188" s="78" t="s">
        <v>1</v>
      </c>
      <c r="B188" s="78" t="s">
        <v>124</v>
      </c>
      <c r="C188" s="76" t="s">
        <v>125</v>
      </c>
      <c r="D188" s="16"/>
      <c r="E188" s="16"/>
      <c r="F188" s="17"/>
      <c r="G188" s="79" t="s">
        <v>158</v>
      </c>
      <c r="H188" s="16"/>
      <c r="I188" s="16"/>
      <c r="J188" s="17"/>
      <c r="K188" s="76" t="s">
        <v>127</v>
      </c>
      <c r="L188" s="16"/>
      <c r="M188" s="16"/>
      <c r="N188" s="17"/>
      <c r="O188" s="76" t="s">
        <v>128</v>
      </c>
      <c r="P188" s="16"/>
      <c r="Q188" s="17"/>
      <c r="R188" s="76" t="s">
        <v>129</v>
      </c>
      <c r="S188" s="17"/>
      <c r="T188" s="76" t="s">
        <v>130</v>
      </c>
      <c r="U188" s="17"/>
      <c r="V188" s="76" t="s">
        <v>131</v>
      </c>
      <c r="W188" s="17"/>
      <c r="X188" s="76" t="s">
        <v>132</v>
      </c>
      <c r="Y188" s="17"/>
    </row>
    <row r="189" ht="33.0" customHeight="1">
      <c r="A189" s="80">
        <v>1.0</v>
      </c>
      <c r="B189" s="96" t="s">
        <v>133</v>
      </c>
      <c r="C189" s="66" t="s">
        <v>294</v>
      </c>
      <c r="D189" s="16"/>
      <c r="E189" s="16"/>
      <c r="F189" s="17"/>
      <c r="G189" s="62" t="s">
        <v>135</v>
      </c>
      <c r="H189" s="16"/>
      <c r="I189" s="16"/>
      <c r="J189" s="17"/>
      <c r="K189" s="67">
        <v>15.0</v>
      </c>
      <c r="L189" s="16"/>
      <c r="M189" s="16"/>
      <c r="N189" s="17"/>
      <c r="O189" s="67" t="s">
        <v>136</v>
      </c>
      <c r="P189" s="16"/>
      <c r="Q189" s="17"/>
      <c r="R189" s="68"/>
      <c r="S189" s="17"/>
      <c r="T189" s="69" t="s">
        <v>137</v>
      </c>
      <c r="U189" s="17"/>
      <c r="V189" s="68"/>
      <c r="W189" s="17"/>
      <c r="X189" s="68"/>
      <c r="Y189" s="17"/>
    </row>
    <row r="190" ht="33.0" customHeight="1">
      <c r="A190" s="80">
        <v>2.0</v>
      </c>
      <c r="B190" s="96" t="s">
        <v>295</v>
      </c>
      <c r="C190" s="66" t="s">
        <v>296</v>
      </c>
      <c r="D190" s="16"/>
      <c r="E190" s="16"/>
      <c r="F190" s="17"/>
      <c r="G190" s="62" t="s">
        <v>59</v>
      </c>
      <c r="H190" s="16"/>
      <c r="I190" s="16"/>
      <c r="J190" s="17"/>
      <c r="K190" s="67">
        <v>20.0</v>
      </c>
      <c r="L190" s="16"/>
      <c r="M190" s="16"/>
      <c r="N190" s="17"/>
      <c r="O190" s="67" t="s">
        <v>136</v>
      </c>
      <c r="P190" s="16"/>
      <c r="Q190" s="17"/>
      <c r="R190" s="69" t="s">
        <v>137</v>
      </c>
      <c r="S190" s="17"/>
      <c r="T190" s="68"/>
      <c r="U190" s="17"/>
      <c r="V190" s="68"/>
      <c r="W190" s="17"/>
      <c r="X190" s="68"/>
      <c r="Y190" s="17"/>
    </row>
    <row r="191" ht="33.0" customHeight="1">
      <c r="A191" s="80">
        <v>3.0</v>
      </c>
      <c r="B191" s="96" t="s">
        <v>180</v>
      </c>
      <c r="C191" s="66" t="s">
        <v>297</v>
      </c>
      <c r="D191" s="16"/>
      <c r="E191" s="16"/>
      <c r="F191" s="17"/>
      <c r="G191" s="62" t="s">
        <v>135</v>
      </c>
      <c r="H191" s="16"/>
      <c r="I191" s="16"/>
      <c r="J191" s="17"/>
      <c r="K191" s="67">
        <v>20.0</v>
      </c>
      <c r="L191" s="16"/>
      <c r="M191" s="16"/>
      <c r="N191" s="17"/>
      <c r="O191" s="67" t="s">
        <v>136</v>
      </c>
      <c r="P191" s="16"/>
      <c r="Q191" s="17"/>
      <c r="R191" s="68"/>
      <c r="S191" s="17"/>
      <c r="T191" s="69" t="s">
        <v>137</v>
      </c>
      <c r="U191" s="17"/>
      <c r="V191" s="68"/>
      <c r="W191" s="17"/>
      <c r="X191" s="68"/>
      <c r="Y191" s="17"/>
    </row>
    <row r="192" ht="33.0" customHeight="1">
      <c r="A192" s="80">
        <v>4.0</v>
      </c>
      <c r="B192" s="96" t="s">
        <v>298</v>
      </c>
      <c r="C192" s="66" t="s">
        <v>299</v>
      </c>
      <c r="D192" s="16"/>
      <c r="E192" s="16"/>
      <c r="F192" s="17"/>
      <c r="G192" s="62" t="s">
        <v>110</v>
      </c>
      <c r="H192" s="16"/>
      <c r="I192" s="16"/>
      <c r="J192" s="17"/>
      <c r="K192" s="67">
        <v>200.0</v>
      </c>
      <c r="L192" s="16"/>
      <c r="M192" s="16"/>
      <c r="N192" s="17"/>
      <c r="O192" s="62" t="s">
        <v>136</v>
      </c>
      <c r="P192" s="16"/>
      <c r="Q192" s="17"/>
      <c r="R192" s="68"/>
      <c r="S192" s="17"/>
      <c r="T192" s="68"/>
      <c r="U192" s="17"/>
      <c r="V192" s="68"/>
      <c r="W192" s="17"/>
      <c r="X192" s="68"/>
      <c r="Y192" s="17"/>
    </row>
    <row r="193" ht="33.0" customHeight="1">
      <c r="A193" s="80">
        <v>5.0</v>
      </c>
      <c r="B193" s="96" t="s">
        <v>300</v>
      </c>
      <c r="C193" s="66" t="s">
        <v>301</v>
      </c>
      <c r="D193" s="16"/>
      <c r="E193" s="16"/>
      <c r="F193" s="17"/>
      <c r="G193" s="62" t="s">
        <v>92</v>
      </c>
      <c r="H193" s="16"/>
      <c r="I193" s="16"/>
      <c r="J193" s="17"/>
      <c r="K193" s="67">
        <v>10.0</v>
      </c>
      <c r="L193" s="16"/>
      <c r="M193" s="16"/>
      <c r="N193" s="17"/>
      <c r="O193" s="67" t="s">
        <v>136</v>
      </c>
      <c r="P193" s="16"/>
      <c r="Q193" s="17"/>
      <c r="R193" s="68"/>
      <c r="S193" s="17"/>
      <c r="T193" s="68"/>
      <c r="U193" s="17"/>
      <c r="V193" s="68"/>
      <c r="W193" s="17"/>
      <c r="X193" s="68"/>
      <c r="Y193" s="17"/>
    </row>
    <row r="194" ht="33.0" customHeight="1">
      <c r="A194" s="83"/>
      <c r="B194" s="83"/>
      <c r="C194" s="83"/>
      <c r="G194" s="83"/>
      <c r="K194" s="83"/>
      <c r="O194" s="83"/>
      <c r="R194" s="83"/>
      <c r="T194" s="83"/>
      <c r="V194" s="83"/>
      <c r="X194" s="83"/>
    </row>
    <row r="195" ht="33.0" customHeight="1">
      <c r="A195" s="86">
        <v>23.0</v>
      </c>
      <c r="B195" s="76" t="s">
        <v>2</v>
      </c>
      <c r="C195" s="69" t="s">
        <v>49</v>
      </c>
      <c r="D195" s="16"/>
      <c r="E195" s="16"/>
      <c r="F195" s="17"/>
      <c r="G195" s="76" t="s">
        <v>3</v>
      </c>
      <c r="H195" s="16"/>
      <c r="I195" s="16"/>
      <c r="J195" s="17"/>
      <c r="K195" s="77" t="s">
        <v>302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7"/>
      <c r="X195" s="78" t="s">
        <v>123</v>
      </c>
      <c r="Y195" s="55">
        <v>46023.0</v>
      </c>
    </row>
    <row r="196" ht="33.0" customHeight="1">
      <c r="A196" s="78" t="s">
        <v>1</v>
      </c>
      <c r="B196" s="78" t="s">
        <v>124</v>
      </c>
      <c r="C196" s="76" t="s">
        <v>125</v>
      </c>
      <c r="D196" s="16"/>
      <c r="E196" s="16"/>
      <c r="F196" s="17"/>
      <c r="G196" s="79" t="s">
        <v>158</v>
      </c>
      <c r="H196" s="16"/>
      <c r="I196" s="16"/>
      <c r="J196" s="17"/>
      <c r="K196" s="76" t="s">
        <v>127</v>
      </c>
      <c r="L196" s="16"/>
      <c r="M196" s="16"/>
      <c r="N196" s="17"/>
      <c r="O196" s="76" t="s">
        <v>128</v>
      </c>
      <c r="P196" s="16"/>
      <c r="Q196" s="17"/>
      <c r="R196" s="76" t="s">
        <v>129</v>
      </c>
      <c r="S196" s="17"/>
      <c r="T196" s="76" t="s">
        <v>130</v>
      </c>
      <c r="U196" s="17"/>
      <c r="V196" s="76" t="s">
        <v>131</v>
      </c>
      <c r="W196" s="17"/>
      <c r="X196" s="76" t="s">
        <v>132</v>
      </c>
      <c r="Y196" s="17"/>
    </row>
    <row r="197" ht="33.0" customHeight="1">
      <c r="A197" s="80">
        <v>1.0</v>
      </c>
      <c r="B197" s="96" t="s">
        <v>161</v>
      </c>
      <c r="C197" s="66" t="s">
        <v>278</v>
      </c>
      <c r="D197" s="16"/>
      <c r="E197" s="16"/>
      <c r="F197" s="17"/>
      <c r="G197" s="62" t="s">
        <v>135</v>
      </c>
      <c r="H197" s="16"/>
      <c r="I197" s="16"/>
      <c r="J197" s="17"/>
      <c r="K197" s="67">
        <v>5.0</v>
      </c>
      <c r="L197" s="16"/>
      <c r="M197" s="16"/>
      <c r="N197" s="17"/>
      <c r="O197" s="67" t="s">
        <v>136</v>
      </c>
      <c r="P197" s="16"/>
      <c r="Q197" s="17"/>
      <c r="R197" s="68"/>
      <c r="S197" s="17"/>
      <c r="T197" s="69" t="s">
        <v>137</v>
      </c>
      <c r="U197" s="17"/>
      <c r="V197" s="68"/>
      <c r="W197" s="17"/>
      <c r="X197" s="68"/>
      <c r="Y197" s="17"/>
    </row>
    <row r="198" ht="33.0" customHeight="1">
      <c r="A198" s="80">
        <v>2.0</v>
      </c>
      <c r="B198" s="96" t="s">
        <v>133</v>
      </c>
      <c r="C198" s="66" t="s">
        <v>134</v>
      </c>
      <c r="D198" s="16"/>
      <c r="E198" s="16"/>
      <c r="F198" s="17"/>
      <c r="G198" s="62" t="s">
        <v>135</v>
      </c>
      <c r="H198" s="16"/>
      <c r="I198" s="16"/>
      <c r="J198" s="17"/>
      <c r="K198" s="67">
        <v>15.0</v>
      </c>
      <c r="L198" s="16"/>
      <c r="M198" s="16"/>
      <c r="N198" s="17"/>
      <c r="O198" s="67" t="s">
        <v>136</v>
      </c>
      <c r="P198" s="16"/>
      <c r="Q198" s="17"/>
      <c r="R198" s="68"/>
      <c r="S198" s="17"/>
      <c r="T198" s="69" t="s">
        <v>137</v>
      </c>
      <c r="U198" s="17"/>
      <c r="V198" s="68"/>
      <c r="W198" s="17"/>
      <c r="X198" s="68"/>
      <c r="Y198" s="17"/>
    </row>
    <row r="199" ht="33.0" customHeight="1">
      <c r="A199" s="80">
        <v>3.0</v>
      </c>
      <c r="B199" s="96" t="s">
        <v>303</v>
      </c>
      <c r="C199" s="66" t="s">
        <v>304</v>
      </c>
      <c r="D199" s="16"/>
      <c r="E199" s="16"/>
      <c r="F199" s="17"/>
      <c r="G199" s="62" t="s">
        <v>92</v>
      </c>
      <c r="H199" s="16"/>
      <c r="I199" s="16"/>
      <c r="J199" s="17"/>
      <c r="K199" s="67">
        <v>10.0</v>
      </c>
      <c r="L199" s="16"/>
      <c r="M199" s="16"/>
      <c r="N199" s="17"/>
      <c r="O199" s="67" t="s">
        <v>136</v>
      </c>
      <c r="P199" s="16"/>
      <c r="Q199" s="17"/>
      <c r="R199" s="68"/>
      <c r="S199" s="17"/>
      <c r="T199" s="68"/>
      <c r="U199" s="17"/>
      <c r="V199" s="68"/>
      <c r="W199" s="17"/>
      <c r="X199" s="68"/>
      <c r="Y199" s="17"/>
    </row>
    <row r="200" ht="33.0" customHeight="1">
      <c r="A200" s="82"/>
      <c r="B200" s="83"/>
      <c r="C200" s="83"/>
      <c r="G200" s="83"/>
      <c r="K200" s="83"/>
      <c r="O200" s="83"/>
      <c r="R200" s="83"/>
      <c r="T200" s="83"/>
      <c r="V200" s="83"/>
      <c r="X200" s="83"/>
    </row>
    <row r="201" ht="33.0" customHeight="1">
      <c r="A201" s="72">
        <v>24.0</v>
      </c>
      <c r="B201" s="76" t="s">
        <v>2</v>
      </c>
      <c r="C201" s="73" t="s">
        <v>305</v>
      </c>
      <c r="D201" s="16"/>
      <c r="E201" s="16"/>
      <c r="F201" s="17"/>
      <c r="G201" s="76" t="s">
        <v>3</v>
      </c>
      <c r="H201" s="16"/>
      <c r="I201" s="16"/>
      <c r="J201" s="17"/>
      <c r="K201" s="77" t="s">
        <v>306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7"/>
      <c r="X201" s="78" t="s">
        <v>123</v>
      </c>
      <c r="Y201" s="55">
        <v>46023.0</v>
      </c>
    </row>
    <row r="202" ht="33.0" customHeight="1">
      <c r="A202" s="78" t="s">
        <v>1</v>
      </c>
      <c r="B202" s="78" t="s">
        <v>124</v>
      </c>
      <c r="C202" s="76" t="s">
        <v>125</v>
      </c>
      <c r="D202" s="16"/>
      <c r="E202" s="16"/>
      <c r="F202" s="17"/>
      <c r="G202" s="76" t="s">
        <v>158</v>
      </c>
      <c r="H202" s="16"/>
      <c r="I202" s="16"/>
      <c r="J202" s="17"/>
      <c r="K202" s="76" t="s">
        <v>127</v>
      </c>
      <c r="L202" s="16"/>
      <c r="M202" s="16"/>
      <c r="N202" s="17"/>
      <c r="O202" s="76" t="s">
        <v>128</v>
      </c>
      <c r="P202" s="16"/>
      <c r="Q202" s="17"/>
      <c r="R202" s="76" t="s">
        <v>129</v>
      </c>
      <c r="S202" s="17"/>
      <c r="T202" s="76" t="s">
        <v>130</v>
      </c>
      <c r="U202" s="17"/>
      <c r="V202" s="76" t="s">
        <v>131</v>
      </c>
      <c r="W202" s="17"/>
      <c r="X202" s="76" t="s">
        <v>132</v>
      </c>
      <c r="Y202" s="17"/>
    </row>
    <row r="203" ht="33.0" customHeight="1">
      <c r="A203" s="80">
        <v>1.0</v>
      </c>
      <c r="B203" s="96" t="s">
        <v>133</v>
      </c>
      <c r="C203" s="66" t="s">
        <v>134</v>
      </c>
      <c r="D203" s="16"/>
      <c r="E203" s="16"/>
      <c r="F203" s="17"/>
      <c r="G203" s="62" t="s">
        <v>135</v>
      </c>
      <c r="H203" s="16"/>
      <c r="I203" s="16"/>
      <c r="J203" s="17"/>
      <c r="K203" s="67">
        <v>15.0</v>
      </c>
      <c r="L203" s="16"/>
      <c r="M203" s="16"/>
      <c r="N203" s="17"/>
      <c r="O203" s="67" t="s">
        <v>136</v>
      </c>
      <c r="P203" s="16"/>
      <c r="Q203" s="17"/>
      <c r="R203" s="68"/>
      <c r="S203" s="17"/>
      <c r="T203" s="69" t="s">
        <v>137</v>
      </c>
      <c r="U203" s="17"/>
      <c r="V203" s="68"/>
      <c r="W203" s="17"/>
      <c r="X203" s="68"/>
      <c r="Y203" s="17"/>
    </row>
    <row r="204" ht="33.0" customHeight="1">
      <c r="A204" s="80">
        <v>2.0</v>
      </c>
      <c r="B204" s="97" t="s">
        <v>307</v>
      </c>
      <c r="C204" s="66" t="s">
        <v>308</v>
      </c>
      <c r="D204" s="16"/>
      <c r="E204" s="16"/>
      <c r="F204" s="17"/>
      <c r="G204" s="62" t="s">
        <v>59</v>
      </c>
      <c r="H204" s="16"/>
      <c r="I204" s="16"/>
      <c r="J204" s="17"/>
      <c r="K204" s="67">
        <v>10.0</v>
      </c>
      <c r="L204" s="16"/>
      <c r="M204" s="16"/>
      <c r="N204" s="17"/>
      <c r="O204" s="67" t="s">
        <v>136</v>
      </c>
      <c r="P204" s="16"/>
      <c r="Q204" s="17"/>
      <c r="R204" s="69" t="s">
        <v>137</v>
      </c>
      <c r="S204" s="17"/>
      <c r="T204" s="68"/>
      <c r="U204" s="17"/>
      <c r="V204" s="68"/>
      <c r="W204" s="17"/>
      <c r="X204" s="68"/>
      <c r="Y204" s="17"/>
    </row>
    <row r="205" ht="33.0" customHeight="1">
      <c r="A205" s="80">
        <v>3.0</v>
      </c>
      <c r="B205" s="96" t="s">
        <v>189</v>
      </c>
      <c r="C205" s="66" t="s">
        <v>190</v>
      </c>
      <c r="D205" s="16"/>
      <c r="E205" s="16"/>
      <c r="F205" s="17"/>
      <c r="G205" s="62" t="s">
        <v>135</v>
      </c>
      <c r="H205" s="16"/>
      <c r="I205" s="16"/>
      <c r="J205" s="17"/>
      <c r="K205" s="67">
        <v>5.0</v>
      </c>
      <c r="L205" s="16"/>
      <c r="M205" s="16"/>
      <c r="N205" s="17"/>
      <c r="O205" s="67" t="s">
        <v>136</v>
      </c>
      <c r="P205" s="16"/>
      <c r="Q205" s="17"/>
      <c r="R205" s="68"/>
      <c r="S205" s="17"/>
      <c r="T205" s="69" t="s">
        <v>137</v>
      </c>
      <c r="U205" s="17"/>
      <c r="V205" s="68"/>
      <c r="W205" s="17"/>
      <c r="X205" s="68"/>
      <c r="Y205" s="17"/>
    </row>
    <row r="206" ht="33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ht="40.5" customHeight="1">
      <c r="A207" s="98" t="s">
        <v>309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7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</sheetData>
  <mergeCells count="1274">
    <mergeCell ref="V83:W83"/>
    <mergeCell ref="X83:Y83"/>
    <mergeCell ref="G82:J82"/>
    <mergeCell ref="K82:W82"/>
    <mergeCell ref="G83:J83"/>
    <mergeCell ref="K83:N83"/>
    <mergeCell ref="O83:Q83"/>
    <mergeCell ref="R83:S83"/>
    <mergeCell ref="T83:U83"/>
    <mergeCell ref="G84:J84"/>
    <mergeCell ref="K84:N84"/>
    <mergeCell ref="O84:Q84"/>
    <mergeCell ref="R84:S84"/>
    <mergeCell ref="T84:U84"/>
    <mergeCell ref="V84:W84"/>
    <mergeCell ref="X84:Y84"/>
    <mergeCell ref="G85:J85"/>
    <mergeCell ref="K85:N85"/>
    <mergeCell ref="O85:Q85"/>
    <mergeCell ref="R85:S85"/>
    <mergeCell ref="T85:U85"/>
    <mergeCell ref="V85:W85"/>
    <mergeCell ref="X85:Y85"/>
    <mergeCell ref="G86:J86"/>
    <mergeCell ref="K86:N86"/>
    <mergeCell ref="O86:Q86"/>
    <mergeCell ref="R86:S86"/>
    <mergeCell ref="T86:U86"/>
    <mergeCell ref="V86:W86"/>
    <mergeCell ref="X86:Y86"/>
    <mergeCell ref="G87:J87"/>
    <mergeCell ref="K87:N87"/>
    <mergeCell ref="O87:Q87"/>
    <mergeCell ref="R87:S87"/>
    <mergeCell ref="T87:U87"/>
    <mergeCell ref="V87:W87"/>
    <mergeCell ref="X87:Y87"/>
    <mergeCell ref="G88:J88"/>
    <mergeCell ref="K88:N88"/>
    <mergeCell ref="O88:Q88"/>
    <mergeCell ref="R88:S88"/>
    <mergeCell ref="T88:U88"/>
    <mergeCell ref="V88:W88"/>
    <mergeCell ref="X88:Y88"/>
    <mergeCell ref="G94:J94"/>
    <mergeCell ref="K94:W94"/>
    <mergeCell ref="G95:J95"/>
    <mergeCell ref="K95:N95"/>
    <mergeCell ref="O95:Q95"/>
    <mergeCell ref="R95:S95"/>
    <mergeCell ref="T95:U95"/>
    <mergeCell ref="G96:J96"/>
    <mergeCell ref="K96:N96"/>
    <mergeCell ref="O96:Q96"/>
    <mergeCell ref="R96:S96"/>
    <mergeCell ref="T96:U96"/>
    <mergeCell ref="V96:W96"/>
    <mergeCell ref="X96:Y96"/>
    <mergeCell ref="G97:J97"/>
    <mergeCell ref="K97:N97"/>
    <mergeCell ref="O97:Q97"/>
    <mergeCell ref="R97:S97"/>
    <mergeCell ref="T97:U97"/>
    <mergeCell ref="V97:W97"/>
    <mergeCell ref="X97:Y97"/>
    <mergeCell ref="G98:J98"/>
    <mergeCell ref="K98:N98"/>
    <mergeCell ref="O98:Q98"/>
    <mergeCell ref="R98:S98"/>
    <mergeCell ref="T98:U98"/>
    <mergeCell ref="V98:W98"/>
    <mergeCell ref="X98:Y98"/>
    <mergeCell ref="V90:W90"/>
    <mergeCell ref="X90:Y90"/>
    <mergeCell ref="G89:J89"/>
    <mergeCell ref="K89:W89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G92:J92"/>
    <mergeCell ref="K92:N92"/>
    <mergeCell ref="O92:Q92"/>
    <mergeCell ref="R92:S92"/>
    <mergeCell ref="T92:U92"/>
    <mergeCell ref="V92:W92"/>
    <mergeCell ref="X92:Y92"/>
    <mergeCell ref="G93:J93"/>
    <mergeCell ref="K93:N93"/>
    <mergeCell ref="O93:Q93"/>
    <mergeCell ref="R93:S93"/>
    <mergeCell ref="T93:U93"/>
    <mergeCell ref="V93:W93"/>
    <mergeCell ref="X93:Y93"/>
    <mergeCell ref="V95:W95"/>
    <mergeCell ref="X95:Y95"/>
    <mergeCell ref="G99:J99"/>
    <mergeCell ref="K99:N99"/>
    <mergeCell ref="O99:Q99"/>
    <mergeCell ref="R99:S99"/>
    <mergeCell ref="T99:U99"/>
    <mergeCell ref="V99:W99"/>
    <mergeCell ref="X99:Y99"/>
    <mergeCell ref="G108:J108"/>
    <mergeCell ref="K108:N108"/>
    <mergeCell ref="O108:Q108"/>
    <mergeCell ref="R108:S108"/>
    <mergeCell ref="T108:U108"/>
    <mergeCell ref="V108:W108"/>
    <mergeCell ref="X108:Y108"/>
    <mergeCell ref="G109:J109"/>
    <mergeCell ref="K109:N109"/>
    <mergeCell ref="O109:Q109"/>
    <mergeCell ref="R109:S109"/>
    <mergeCell ref="T109:U109"/>
    <mergeCell ref="V109:W109"/>
    <mergeCell ref="X109:Y109"/>
    <mergeCell ref="G110:J110"/>
    <mergeCell ref="K110:N110"/>
    <mergeCell ref="O110:Q110"/>
    <mergeCell ref="R110:S110"/>
    <mergeCell ref="T110:U110"/>
    <mergeCell ref="V110:W110"/>
    <mergeCell ref="X110:Y110"/>
    <mergeCell ref="G111:J111"/>
    <mergeCell ref="K111:N111"/>
    <mergeCell ref="O111:Q111"/>
    <mergeCell ref="R111:S111"/>
    <mergeCell ref="T111:U111"/>
    <mergeCell ref="V111:W111"/>
    <mergeCell ref="X111:Y111"/>
    <mergeCell ref="V113:W113"/>
    <mergeCell ref="X113:Y113"/>
    <mergeCell ref="G112:J112"/>
    <mergeCell ref="K112:W112"/>
    <mergeCell ref="G113:J113"/>
    <mergeCell ref="K113:N113"/>
    <mergeCell ref="O113:Q113"/>
    <mergeCell ref="R113:S113"/>
    <mergeCell ref="T113:U113"/>
    <mergeCell ref="G105:J105"/>
    <mergeCell ref="K105:W105"/>
    <mergeCell ref="G106:J106"/>
    <mergeCell ref="K106:N106"/>
    <mergeCell ref="O106:Q106"/>
    <mergeCell ref="R106:S106"/>
    <mergeCell ref="T106:U106"/>
    <mergeCell ref="G107:J107"/>
    <mergeCell ref="K107:N107"/>
    <mergeCell ref="O107:Q107"/>
    <mergeCell ref="R107:S107"/>
    <mergeCell ref="T107:U107"/>
    <mergeCell ref="V107:W107"/>
    <mergeCell ref="X107:Y107"/>
    <mergeCell ref="G114:J114"/>
    <mergeCell ref="K114:N114"/>
    <mergeCell ref="O114:Q114"/>
    <mergeCell ref="R114:S114"/>
    <mergeCell ref="T114:U114"/>
    <mergeCell ref="V114:W114"/>
    <mergeCell ref="X114:Y114"/>
    <mergeCell ref="G115:J115"/>
    <mergeCell ref="K115:N115"/>
    <mergeCell ref="O115:Q115"/>
    <mergeCell ref="R115:S115"/>
    <mergeCell ref="T115:U115"/>
    <mergeCell ref="V115:W115"/>
    <mergeCell ref="X115:Y115"/>
    <mergeCell ref="V101:W101"/>
    <mergeCell ref="X101:Y101"/>
    <mergeCell ref="G100:J100"/>
    <mergeCell ref="K100:W100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G103:J103"/>
    <mergeCell ref="K103:N103"/>
    <mergeCell ref="O103:Q103"/>
    <mergeCell ref="R103:S103"/>
    <mergeCell ref="T103:U103"/>
    <mergeCell ref="V103:W103"/>
    <mergeCell ref="X103:Y103"/>
    <mergeCell ref="G104:J104"/>
    <mergeCell ref="K104:N104"/>
    <mergeCell ref="O104:Q104"/>
    <mergeCell ref="R104:S104"/>
    <mergeCell ref="T104:U104"/>
    <mergeCell ref="V104:W104"/>
    <mergeCell ref="X104:Y104"/>
    <mergeCell ref="V106:W106"/>
    <mergeCell ref="X106:Y106"/>
    <mergeCell ref="G116:J116"/>
    <mergeCell ref="K116:N116"/>
    <mergeCell ref="O116:Q116"/>
    <mergeCell ref="R116:S116"/>
    <mergeCell ref="T116:U116"/>
    <mergeCell ref="V116:W116"/>
    <mergeCell ref="X116:Y116"/>
    <mergeCell ref="G123:J123"/>
    <mergeCell ref="K123:N123"/>
    <mergeCell ref="O123:Q123"/>
    <mergeCell ref="R123:S123"/>
    <mergeCell ref="T123:U123"/>
    <mergeCell ref="V123:W123"/>
    <mergeCell ref="X123:Y123"/>
    <mergeCell ref="G124:J124"/>
    <mergeCell ref="K124:N124"/>
    <mergeCell ref="O124:Q124"/>
    <mergeCell ref="R124:S124"/>
    <mergeCell ref="T124:U124"/>
    <mergeCell ref="V124:W124"/>
    <mergeCell ref="X124:Y124"/>
    <mergeCell ref="V118:W118"/>
    <mergeCell ref="X118:Y118"/>
    <mergeCell ref="G117:J117"/>
    <mergeCell ref="K117:W117"/>
    <mergeCell ref="G118:J118"/>
    <mergeCell ref="K118:N118"/>
    <mergeCell ref="O118:Q118"/>
    <mergeCell ref="R118:S118"/>
    <mergeCell ref="T118:U118"/>
    <mergeCell ref="G119:J119"/>
    <mergeCell ref="K119:N119"/>
    <mergeCell ref="O119:Q119"/>
    <mergeCell ref="R119:S119"/>
    <mergeCell ref="T119:U119"/>
    <mergeCell ref="V119:W119"/>
    <mergeCell ref="X119:Y119"/>
    <mergeCell ref="G120:J120"/>
    <mergeCell ref="K120:N120"/>
    <mergeCell ref="O120:Q120"/>
    <mergeCell ref="R120:S120"/>
    <mergeCell ref="T120:U120"/>
    <mergeCell ref="V120:W120"/>
    <mergeCell ref="X120:Y120"/>
    <mergeCell ref="G121:J121"/>
    <mergeCell ref="K121:N121"/>
    <mergeCell ref="O121:Q121"/>
    <mergeCell ref="R121:S121"/>
    <mergeCell ref="T121:U121"/>
    <mergeCell ref="V121:W121"/>
    <mergeCell ref="X121:Y121"/>
    <mergeCell ref="G122:J122"/>
    <mergeCell ref="K122:N122"/>
    <mergeCell ref="O122:Q122"/>
    <mergeCell ref="R122:S122"/>
    <mergeCell ref="T122:U122"/>
    <mergeCell ref="V122:W122"/>
    <mergeCell ref="X122:Y122"/>
    <mergeCell ref="G125:J125"/>
    <mergeCell ref="K125:N125"/>
    <mergeCell ref="O125:Q125"/>
    <mergeCell ref="R125:S125"/>
    <mergeCell ref="T125:U125"/>
    <mergeCell ref="V125:W125"/>
    <mergeCell ref="X125:Y125"/>
    <mergeCell ref="G133:J133"/>
    <mergeCell ref="K133:N133"/>
    <mergeCell ref="O133:Q133"/>
    <mergeCell ref="R133:S133"/>
    <mergeCell ref="T133:U133"/>
    <mergeCell ref="V133:W133"/>
    <mergeCell ref="X133:Y133"/>
    <mergeCell ref="G134:J134"/>
    <mergeCell ref="K134:N134"/>
    <mergeCell ref="O134:Q134"/>
    <mergeCell ref="R134:S134"/>
    <mergeCell ref="T134:U134"/>
    <mergeCell ref="V134:W134"/>
    <mergeCell ref="X134:Y134"/>
    <mergeCell ref="V128:W128"/>
    <mergeCell ref="X128:Y128"/>
    <mergeCell ref="G127:J127"/>
    <mergeCell ref="K127:W127"/>
    <mergeCell ref="G128:J128"/>
    <mergeCell ref="K128:N128"/>
    <mergeCell ref="O128:Q128"/>
    <mergeCell ref="R128:S128"/>
    <mergeCell ref="T128:U128"/>
    <mergeCell ref="G129:J129"/>
    <mergeCell ref="K129:N129"/>
    <mergeCell ref="O129:Q129"/>
    <mergeCell ref="R129:S129"/>
    <mergeCell ref="T129:U129"/>
    <mergeCell ref="V129:W129"/>
    <mergeCell ref="X129:Y129"/>
    <mergeCell ref="G130:J130"/>
    <mergeCell ref="K130:N130"/>
    <mergeCell ref="O130:Q130"/>
    <mergeCell ref="R130:S130"/>
    <mergeCell ref="T130:U130"/>
    <mergeCell ref="V130:W130"/>
    <mergeCell ref="X130:Y130"/>
    <mergeCell ref="G131:J131"/>
    <mergeCell ref="K131:N131"/>
    <mergeCell ref="O131:Q131"/>
    <mergeCell ref="R131:S131"/>
    <mergeCell ref="T131:U131"/>
    <mergeCell ref="V131:W131"/>
    <mergeCell ref="X131:Y131"/>
    <mergeCell ref="G132:J132"/>
    <mergeCell ref="K132:N132"/>
    <mergeCell ref="O132:Q132"/>
    <mergeCell ref="R132:S132"/>
    <mergeCell ref="T132:U132"/>
    <mergeCell ref="V132:W132"/>
    <mergeCell ref="X132:Y132"/>
    <mergeCell ref="G135:J135"/>
    <mergeCell ref="K135:N135"/>
    <mergeCell ref="O135:Q135"/>
    <mergeCell ref="R135:S135"/>
    <mergeCell ref="T135:U135"/>
    <mergeCell ref="V135:W135"/>
    <mergeCell ref="X135:Y135"/>
    <mergeCell ref="G189:J189"/>
    <mergeCell ref="K189:N189"/>
    <mergeCell ref="O189:Q189"/>
    <mergeCell ref="R189:S189"/>
    <mergeCell ref="T189:U189"/>
    <mergeCell ref="V189:W189"/>
    <mergeCell ref="X189:Y189"/>
    <mergeCell ref="G190:J190"/>
    <mergeCell ref="K190:N190"/>
    <mergeCell ref="O190:Q190"/>
    <mergeCell ref="R190:S190"/>
    <mergeCell ref="T190:U190"/>
    <mergeCell ref="V190:W190"/>
    <mergeCell ref="X190:Y190"/>
    <mergeCell ref="V168:W168"/>
    <mergeCell ref="X168:Y168"/>
    <mergeCell ref="G167:J167"/>
    <mergeCell ref="K167:W167"/>
    <mergeCell ref="G168:J168"/>
    <mergeCell ref="K168:N168"/>
    <mergeCell ref="O168:Q168"/>
    <mergeCell ref="R168:S168"/>
    <mergeCell ref="T168:U168"/>
    <mergeCell ref="G169:J169"/>
    <mergeCell ref="K169:N169"/>
    <mergeCell ref="O169:Q169"/>
    <mergeCell ref="R169:S169"/>
    <mergeCell ref="T169:U169"/>
    <mergeCell ref="V169:W169"/>
    <mergeCell ref="X169:Y169"/>
    <mergeCell ref="G170:J170"/>
    <mergeCell ref="K170:N170"/>
    <mergeCell ref="O170:Q170"/>
    <mergeCell ref="R170:S170"/>
    <mergeCell ref="T170:U170"/>
    <mergeCell ref="V170:W170"/>
    <mergeCell ref="X170:Y170"/>
    <mergeCell ref="G171:J171"/>
    <mergeCell ref="K171:N171"/>
    <mergeCell ref="O171:Q171"/>
    <mergeCell ref="R171:S171"/>
    <mergeCell ref="T171:U171"/>
    <mergeCell ref="V171:W171"/>
    <mergeCell ref="X171:Y171"/>
    <mergeCell ref="G172:J172"/>
    <mergeCell ref="K172:N172"/>
    <mergeCell ref="O172:Q172"/>
    <mergeCell ref="R172:S172"/>
    <mergeCell ref="T172:U172"/>
    <mergeCell ref="V172:W172"/>
    <mergeCell ref="X172:Y172"/>
    <mergeCell ref="G191:J191"/>
    <mergeCell ref="K191:N191"/>
    <mergeCell ref="O191:Q191"/>
    <mergeCell ref="R191:S191"/>
    <mergeCell ref="T191:U191"/>
    <mergeCell ref="V191:W191"/>
    <mergeCell ref="X191:Y191"/>
    <mergeCell ref="V176:W176"/>
    <mergeCell ref="X176:Y176"/>
    <mergeCell ref="G175:J175"/>
    <mergeCell ref="K175:W175"/>
    <mergeCell ref="G176:J176"/>
    <mergeCell ref="K176:N176"/>
    <mergeCell ref="O176:Q176"/>
    <mergeCell ref="R176:S176"/>
    <mergeCell ref="T176:U176"/>
    <mergeCell ref="G177:J177"/>
    <mergeCell ref="K177:N177"/>
    <mergeCell ref="O177:Q177"/>
    <mergeCell ref="R177:S177"/>
    <mergeCell ref="T177:U177"/>
    <mergeCell ref="V177:W177"/>
    <mergeCell ref="X177:Y177"/>
    <mergeCell ref="G178:J178"/>
    <mergeCell ref="K178:N178"/>
    <mergeCell ref="O178:Q178"/>
    <mergeCell ref="R178:S178"/>
    <mergeCell ref="T178:U178"/>
    <mergeCell ref="V178:W178"/>
    <mergeCell ref="X178:Y178"/>
    <mergeCell ref="G179:J179"/>
    <mergeCell ref="K179:N179"/>
    <mergeCell ref="O179:Q179"/>
    <mergeCell ref="R179:S179"/>
    <mergeCell ref="T179:U179"/>
    <mergeCell ref="V179:W179"/>
    <mergeCell ref="X179:Y179"/>
    <mergeCell ref="G180:J180"/>
    <mergeCell ref="K180:N180"/>
    <mergeCell ref="O180:Q180"/>
    <mergeCell ref="R180:S180"/>
    <mergeCell ref="T180:U180"/>
    <mergeCell ref="V180:W180"/>
    <mergeCell ref="X180:Y180"/>
    <mergeCell ref="V182:W182"/>
    <mergeCell ref="X182:Y182"/>
    <mergeCell ref="G181:J181"/>
    <mergeCell ref="K181:W181"/>
    <mergeCell ref="G182:J182"/>
    <mergeCell ref="K182:N182"/>
    <mergeCell ref="O182:Q182"/>
    <mergeCell ref="R182:S182"/>
    <mergeCell ref="T182:U182"/>
    <mergeCell ref="G183:J183"/>
    <mergeCell ref="K183:N183"/>
    <mergeCell ref="O183:Q183"/>
    <mergeCell ref="R183:S183"/>
    <mergeCell ref="T183:U183"/>
    <mergeCell ref="V183:W183"/>
    <mergeCell ref="X183:Y183"/>
    <mergeCell ref="G184:J184"/>
    <mergeCell ref="K184:N184"/>
    <mergeCell ref="O184:Q184"/>
    <mergeCell ref="R184:S184"/>
    <mergeCell ref="T184:U184"/>
    <mergeCell ref="V184:W184"/>
    <mergeCell ref="X184:Y184"/>
    <mergeCell ref="G185:J185"/>
    <mergeCell ref="K185:N185"/>
    <mergeCell ref="O185:Q185"/>
    <mergeCell ref="R185:S185"/>
    <mergeCell ref="T185:U185"/>
    <mergeCell ref="V185:W185"/>
    <mergeCell ref="X185:Y185"/>
    <mergeCell ref="G186:J186"/>
    <mergeCell ref="K186:N186"/>
    <mergeCell ref="O186:Q186"/>
    <mergeCell ref="R186:S186"/>
    <mergeCell ref="T186:U186"/>
    <mergeCell ref="V186:W186"/>
    <mergeCell ref="X186:Y186"/>
    <mergeCell ref="V188:W188"/>
    <mergeCell ref="X188:Y188"/>
    <mergeCell ref="G187:J187"/>
    <mergeCell ref="K187:W187"/>
    <mergeCell ref="G188:J188"/>
    <mergeCell ref="K188:N188"/>
    <mergeCell ref="O188:Q188"/>
    <mergeCell ref="R188:S188"/>
    <mergeCell ref="T188:U188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G41:J41"/>
    <mergeCell ref="K41:N41"/>
    <mergeCell ref="O41:Q41"/>
    <mergeCell ref="R41:S41"/>
    <mergeCell ref="T41:U41"/>
    <mergeCell ref="V41:W41"/>
    <mergeCell ref="X41:Y41"/>
    <mergeCell ref="V53:W53"/>
    <mergeCell ref="X53:Y53"/>
    <mergeCell ref="G52:J52"/>
    <mergeCell ref="K52:W52"/>
    <mergeCell ref="G53:J53"/>
    <mergeCell ref="K53:N53"/>
    <mergeCell ref="O53:Q53"/>
    <mergeCell ref="R53:S53"/>
    <mergeCell ref="T53:U53"/>
    <mergeCell ref="G39:J39"/>
    <mergeCell ref="K39:N39"/>
    <mergeCell ref="O39:Q39"/>
    <mergeCell ref="R39:S39"/>
    <mergeCell ref="T39:U39"/>
    <mergeCell ref="V39:W39"/>
    <mergeCell ref="X39:Y39"/>
    <mergeCell ref="G40:J40"/>
    <mergeCell ref="K40:N40"/>
    <mergeCell ref="O40:Q40"/>
    <mergeCell ref="R40:S40"/>
    <mergeCell ref="T40:U40"/>
    <mergeCell ref="V40:W40"/>
    <mergeCell ref="X40:Y40"/>
    <mergeCell ref="G42:J42"/>
    <mergeCell ref="K42:N42"/>
    <mergeCell ref="O42:Q42"/>
    <mergeCell ref="R42:S42"/>
    <mergeCell ref="T42:U42"/>
    <mergeCell ref="V42:W42"/>
    <mergeCell ref="X42:Y42"/>
    <mergeCell ref="V48:W48"/>
    <mergeCell ref="X48:Y48"/>
    <mergeCell ref="G47:J47"/>
    <mergeCell ref="K47:W47"/>
    <mergeCell ref="G48:J48"/>
    <mergeCell ref="K48:N48"/>
    <mergeCell ref="O48:Q48"/>
    <mergeCell ref="R48:S48"/>
    <mergeCell ref="T48:U48"/>
    <mergeCell ref="G49:J49"/>
    <mergeCell ref="K49:N49"/>
    <mergeCell ref="O49:Q49"/>
    <mergeCell ref="R49:S49"/>
    <mergeCell ref="T49:U49"/>
    <mergeCell ref="V49:W49"/>
    <mergeCell ref="X49:Y49"/>
    <mergeCell ref="G54:J54"/>
    <mergeCell ref="K54:N54"/>
    <mergeCell ref="O54:Q54"/>
    <mergeCell ref="R54:S54"/>
    <mergeCell ref="T54:U54"/>
    <mergeCell ref="V54:W54"/>
    <mergeCell ref="X54:Y54"/>
    <mergeCell ref="G61:J61"/>
    <mergeCell ref="K61:N61"/>
    <mergeCell ref="O61:Q61"/>
    <mergeCell ref="R61:S61"/>
    <mergeCell ref="T61:U61"/>
    <mergeCell ref="V61:W61"/>
    <mergeCell ref="X61:Y61"/>
    <mergeCell ref="G62:J62"/>
    <mergeCell ref="K62:N62"/>
    <mergeCell ref="O62:Q62"/>
    <mergeCell ref="R62:S62"/>
    <mergeCell ref="T62:U62"/>
    <mergeCell ref="V62:W62"/>
    <mergeCell ref="X62:Y62"/>
    <mergeCell ref="G50:J50"/>
    <mergeCell ref="K50:N50"/>
    <mergeCell ref="O50:Q50"/>
    <mergeCell ref="R50:S50"/>
    <mergeCell ref="T50:U50"/>
    <mergeCell ref="V50:W50"/>
    <mergeCell ref="X50:Y50"/>
    <mergeCell ref="G51:J51"/>
    <mergeCell ref="K51:N51"/>
    <mergeCell ref="O51:Q51"/>
    <mergeCell ref="R51:S51"/>
    <mergeCell ref="T51:U51"/>
    <mergeCell ref="V51:W51"/>
    <mergeCell ref="X51:Y51"/>
    <mergeCell ref="G55:J55"/>
    <mergeCell ref="K55:N55"/>
    <mergeCell ref="O55:Q55"/>
    <mergeCell ref="R55:S55"/>
    <mergeCell ref="T55:U55"/>
    <mergeCell ref="V55:W55"/>
    <mergeCell ref="X55:Y55"/>
    <mergeCell ref="G56:J56"/>
    <mergeCell ref="K56:N56"/>
    <mergeCell ref="O56:Q56"/>
    <mergeCell ref="R56:S56"/>
    <mergeCell ref="T56:U56"/>
    <mergeCell ref="V56:W56"/>
    <mergeCell ref="X56:Y56"/>
    <mergeCell ref="V58:W58"/>
    <mergeCell ref="X58:Y58"/>
    <mergeCell ref="G57:J57"/>
    <mergeCell ref="K57:W57"/>
    <mergeCell ref="G58:J58"/>
    <mergeCell ref="K58:N58"/>
    <mergeCell ref="O58:Q58"/>
    <mergeCell ref="R58:S58"/>
    <mergeCell ref="T58:U58"/>
    <mergeCell ref="G63:J63"/>
    <mergeCell ref="K63:W63"/>
    <mergeCell ref="V72:W72"/>
    <mergeCell ref="X72:Y72"/>
    <mergeCell ref="G71:J71"/>
    <mergeCell ref="K71:W71"/>
    <mergeCell ref="G72:J72"/>
    <mergeCell ref="K72:N72"/>
    <mergeCell ref="O72:Q72"/>
    <mergeCell ref="R72:S72"/>
    <mergeCell ref="T72:U72"/>
    <mergeCell ref="G59:J59"/>
    <mergeCell ref="K59:N59"/>
    <mergeCell ref="O59:Q59"/>
    <mergeCell ref="R59:S59"/>
    <mergeCell ref="T59:U59"/>
    <mergeCell ref="V59:W59"/>
    <mergeCell ref="X59:Y59"/>
    <mergeCell ref="G60:J60"/>
    <mergeCell ref="K60:N60"/>
    <mergeCell ref="O60:Q60"/>
    <mergeCell ref="R60:S60"/>
    <mergeCell ref="T60:U60"/>
    <mergeCell ref="V60:W60"/>
    <mergeCell ref="X60:Y60"/>
    <mergeCell ref="G64:J64"/>
    <mergeCell ref="K64:N64"/>
    <mergeCell ref="O64:Q64"/>
    <mergeCell ref="R64:S64"/>
    <mergeCell ref="T64:U64"/>
    <mergeCell ref="V64:W64"/>
    <mergeCell ref="X64:Y64"/>
    <mergeCell ref="G65:J65"/>
    <mergeCell ref="K65:N65"/>
    <mergeCell ref="O65:Q65"/>
    <mergeCell ref="R65:S65"/>
    <mergeCell ref="T65:U65"/>
    <mergeCell ref="V65:W65"/>
    <mergeCell ref="X65:Y65"/>
    <mergeCell ref="G66:J66"/>
    <mergeCell ref="K66:N66"/>
    <mergeCell ref="O66:Q66"/>
    <mergeCell ref="R66:S66"/>
    <mergeCell ref="T66:U66"/>
    <mergeCell ref="V66:W66"/>
    <mergeCell ref="X66:Y66"/>
    <mergeCell ref="G67:J67"/>
    <mergeCell ref="K67:N67"/>
    <mergeCell ref="O67:Q67"/>
    <mergeCell ref="R67:S67"/>
    <mergeCell ref="T67:U67"/>
    <mergeCell ref="V67:W67"/>
    <mergeCell ref="X67:Y67"/>
    <mergeCell ref="G73:J73"/>
    <mergeCell ref="K73:N73"/>
    <mergeCell ref="O73:Q73"/>
    <mergeCell ref="R73:S73"/>
    <mergeCell ref="T73:U73"/>
    <mergeCell ref="V73:W73"/>
    <mergeCell ref="X73:Y73"/>
    <mergeCell ref="C66:F66"/>
    <mergeCell ref="C67:F67"/>
    <mergeCell ref="C68:F68"/>
    <mergeCell ref="C69:F69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99:F199"/>
    <mergeCell ref="C200:F200"/>
    <mergeCell ref="C201:F201"/>
    <mergeCell ref="C202:F202"/>
    <mergeCell ref="C203:F203"/>
    <mergeCell ref="C204:F204"/>
    <mergeCell ref="C205:F205"/>
    <mergeCell ref="C192:F192"/>
    <mergeCell ref="C193:F193"/>
    <mergeCell ref="C194:F194"/>
    <mergeCell ref="C195:F195"/>
    <mergeCell ref="C196:F196"/>
    <mergeCell ref="C197:F197"/>
    <mergeCell ref="C198:F198"/>
    <mergeCell ref="C139:F139"/>
    <mergeCell ref="C140:F140"/>
    <mergeCell ref="C141:F141"/>
    <mergeCell ref="C142:F142"/>
    <mergeCell ref="C143:F143"/>
    <mergeCell ref="C145:F145"/>
    <mergeCell ref="C146:F146"/>
    <mergeCell ref="C147:F147"/>
    <mergeCell ref="C148:F148"/>
    <mergeCell ref="C149:F149"/>
    <mergeCell ref="C151:F151"/>
    <mergeCell ref="C152:F152"/>
    <mergeCell ref="C153:F153"/>
    <mergeCell ref="C154:F154"/>
    <mergeCell ref="C155:F155"/>
    <mergeCell ref="C156:F156"/>
    <mergeCell ref="C157:F157"/>
    <mergeCell ref="C159:F159"/>
    <mergeCell ref="C160:F160"/>
    <mergeCell ref="C161:F161"/>
    <mergeCell ref="C162:F162"/>
    <mergeCell ref="C163:F163"/>
    <mergeCell ref="C164:F164"/>
    <mergeCell ref="C165:F165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89:F189"/>
    <mergeCell ref="C190:F190"/>
    <mergeCell ref="C191:F191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78:J78"/>
    <mergeCell ref="K78:N78"/>
    <mergeCell ref="O78:Q78"/>
    <mergeCell ref="R78:S78"/>
    <mergeCell ref="T78:U78"/>
    <mergeCell ref="V78:W78"/>
    <mergeCell ref="X78:Y78"/>
    <mergeCell ref="G79:J79"/>
    <mergeCell ref="K79:N79"/>
    <mergeCell ref="O79:Q79"/>
    <mergeCell ref="R79:S79"/>
    <mergeCell ref="T79:U79"/>
    <mergeCell ref="V79:W79"/>
    <mergeCell ref="X79:Y79"/>
    <mergeCell ref="G68:J68"/>
    <mergeCell ref="K68:N68"/>
    <mergeCell ref="O68:Q68"/>
    <mergeCell ref="R68:S68"/>
    <mergeCell ref="T68:U68"/>
    <mergeCell ref="V68:W68"/>
    <mergeCell ref="X68:Y68"/>
    <mergeCell ref="G69:J69"/>
    <mergeCell ref="K69:N69"/>
    <mergeCell ref="O69:Q69"/>
    <mergeCell ref="R69:S69"/>
    <mergeCell ref="T69:U69"/>
    <mergeCell ref="V69:W69"/>
    <mergeCell ref="X69:Y69"/>
    <mergeCell ref="G74:J74"/>
    <mergeCell ref="K74:N74"/>
    <mergeCell ref="O74:Q74"/>
    <mergeCell ref="R74:S74"/>
    <mergeCell ref="T74:U74"/>
    <mergeCell ref="V74:W74"/>
    <mergeCell ref="X74:Y74"/>
    <mergeCell ref="G75:J75"/>
    <mergeCell ref="K75:N75"/>
    <mergeCell ref="O75:Q75"/>
    <mergeCell ref="R75:S75"/>
    <mergeCell ref="T75:U75"/>
    <mergeCell ref="V75:W75"/>
    <mergeCell ref="X75:Y75"/>
    <mergeCell ref="G76:J76"/>
    <mergeCell ref="K76:N76"/>
    <mergeCell ref="O76:Q76"/>
    <mergeCell ref="R76:S76"/>
    <mergeCell ref="T76:U76"/>
    <mergeCell ref="V76:W76"/>
    <mergeCell ref="X76:Y76"/>
    <mergeCell ref="G77:J77"/>
    <mergeCell ref="K77:N77"/>
    <mergeCell ref="O77:Q77"/>
    <mergeCell ref="R77:S77"/>
    <mergeCell ref="T77:U77"/>
    <mergeCell ref="V77:W77"/>
    <mergeCell ref="X77:Y77"/>
    <mergeCell ref="G80:J80"/>
    <mergeCell ref="K80:N80"/>
    <mergeCell ref="O80:Q80"/>
    <mergeCell ref="R80:S80"/>
    <mergeCell ref="T80:U80"/>
    <mergeCell ref="V80:W80"/>
    <mergeCell ref="X80:Y80"/>
    <mergeCell ref="G195:J195"/>
    <mergeCell ref="K195:W195"/>
    <mergeCell ref="G196:J196"/>
    <mergeCell ref="K196:N196"/>
    <mergeCell ref="O196:Q196"/>
    <mergeCell ref="R196:S196"/>
    <mergeCell ref="T196:U196"/>
    <mergeCell ref="G197:J197"/>
    <mergeCell ref="K197:N197"/>
    <mergeCell ref="O197:Q197"/>
    <mergeCell ref="R197:S197"/>
    <mergeCell ref="T197:U197"/>
    <mergeCell ref="V197:W197"/>
    <mergeCell ref="X197:Y197"/>
    <mergeCell ref="V202:W202"/>
    <mergeCell ref="X202:Y202"/>
    <mergeCell ref="G201:J201"/>
    <mergeCell ref="K201:W201"/>
    <mergeCell ref="G202:J202"/>
    <mergeCell ref="K202:N202"/>
    <mergeCell ref="O202:Q202"/>
    <mergeCell ref="R202:S202"/>
    <mergeCell ref="T202:U202"/>
    <mergeCell ref="G203:J203"/>
    <mergeCell ref="K203:N203"/>
    <mergeCell ref="O203:Q203"/>
    <mergeCell ref="R203:S203"/>
    <mergeCell ref="T203:U203"/>
    <mergeCell ref="V203:W203"/>
    <mergeCell ref="X203:Y203"/>
    <mergeCell ref="G205:J205"/>
    <mergeCell ref="K205:N205"/>
    <mergeCell ref="O205:Q205"/>
    <mergeCell ref="R205:S205"/>
    <mergeCell ref="T205:U205"/>
    <mergeCell ref="V205:W205"/>
    <mergeCell ref="X205:Y205"/>
    <mergeCell ref="A207:Y207"/>
    <mergeCell ref="G204:J204"/>
    <mergeCell ref="K204:N204"/>
    <mergeCell ref="O204:Q204"/>
    <mergeCell ref="R204:S204"/>
    <mergeCell ref="T204:U204"/>
    <mergeCell ref="V204:W204"/>
    <mergeCell ref="X204:Y204"/>
    <mergeCell ref="G173:J173"/>
    <mergeCell ref="K173:N173"/>
    <mergeCell ref="O173:Q173"/>
    <mergeCell ref="R173:S173"/>
    <mergeCell ref="T173:U173"/>
    <mergeCell ref="V173:W173"/>
    <mergeCell ref="X173:Y173"/>
    <mergeCell ref="G174:J174"/>
    <mergeCell ref="K174:N174"/>
    <mergeCell ref="O174:Q174"/>
    <mergeCell ref="R174:S174"/>
    <mergeCell ref="T174:U174"/>
    <mergeCell ref="V174:W174"/>
    <mergeCell ref="X174:Y174"/>
    <mergeCell ref="G192:J192"/>
    <mergeCell ref="K192:N192"/>
    <mergeCell ref="O192:Q192"/>
    <mergeCell ref="R192:S192"/>
    <mergeCell ref="T192:U192"/>
    <mergeCell ref="V192:W192"/>
    <mergeCell ref="X192:Y192"/>
    <mergeCell ref="G193:J193"/>
    <mergeCell ref="K193:N193"/>
    <mergeCell ref="O193:Q193"/>
    <mergeCell ref="R193:S193"/>
    <mergeCell ref="T193:U193"/>
    <mergeCell ref="V193:W193"/>
    <mergeCell ref="X193:Y193"/>
    <mergeCell ref="G194:J194"/>
    <mergeCell ref="K194:N194"/>
    <mergeCell ref="O194:Q194"/>
    <mergeCell ref="R194:S194"/>
    <mergeCell ref="T194:U194"/>
    <mergeCell ref="V194:W194"/>
    <mergeCell ref="X194:Y194"/>
    <mergeCell ref="V196:W196"/>
    <mergeCell ref="X196:Y196"/>
    <mergeCell ref="G200:J200"/>
    <mergeCell ref="K200:N200"/>
    <mergeCell ref="O200:Q200"/>
    <mergeCell ref="R200:S200"/>
    <mergeCell ref="T200:U200"/>
    <mergeCell ref="V200:W200"/>
    <mergeCell ref="X200:Y200"/>
    <mergeCell ref="G142:J142"/>
    <mergeCell ref="K142:N142"/>
    <mergeCell ref="O142:Q142"/>
    <mergeCell ref="R142:S142"/>
    <mergeCell ref="T142:U142"/>
    <mergeCell ref="V142:W142"/>
    <mergeCell ref="X142:Y142"/>
    <mergeCell ref="G143:J143"/>
    <mergeCell ref="K143:N143"/>
    <mergeCell ref="O143:Q143"/>
    <mergeCell ref="R143:S143"/>
    <mergeCell ref="T143:U143"/>
    <mergeCell ref="V143:W143"/>
    <mergeCell ref="X143:Y143"/>
    <mergeCell ref="V146:W146"/>
    <mergeCell ref="X146:Y146"/>
    <mergeCell ref="G145:J145"/>
    <mergeCell ref="K145:W145"/>
    <mergeCell ref="G146:J146"/>
    <mergeCell ref="K146:N146"/>
    <mergeCell ref="O146:Q146"/>
    <mergeCell ref="R146:S146"/>
    <mergeCell ref="T146:U146"/>
    <mergeCell ref="G147:J147"/>
    <mergeCell ref="K147:N147"/>
    <mergeCell ref="O147:Q147"/>
    <mergeCell ref="R147:S147"/>
    <mergeCell ref="T147:U147"/>
    <mergeCell ref="V147:W147"/>
    <mergeCell ref="X147:Y147"/>
    <mergeCell ref="G148:J148"/>
    <mergeCell ref="K148:N148"/>
    <mergeCell ref="O148:Q148"/>
    <mergeCell ref="R148:S148"/>
    <mergeCell ref="T148:U148"/>
    <mergeCell ref="V148:W148"/>
    <mergeCell ref="X148:Y148"/>
    <mergeCell ref="V137:W137"/>
    <mergeCell ref="X137:Y137"/>
    <mergeCell ref="G136:J136"/>
    <mergeCell ref="K136:W136"/>
    <mergeCell ref="G137:J137"/>
    <mergeCell ref="K137:N137"/>
    <mergeCell ref="O137:Q137"/>
    <mergeCell ref="R137:S137"/>
    <mergeCell ref="T137:U137"/>
    <mergeCell ref="G138:J138"/>
    <mergeCell ref="K138:N138"/>
    <mergeCell ref="O138:Q138"/>
    <mergeCell ref="R138:S138"/>
    <mergeCell ref="T138:U138"/>
    <mergeCell ref="V138:W138"/>
    <mergeCell ref="X138:Y138"/>
    <mergeCell ref="G139:J139"/>
    <mergeCell ref="K139:N139"/>
    <mergeCell ref="O139:Q139"/>
    <mergeCell ref="R139:S139"/>
    <mergeCell ref="T139:U139"/>
    <mergeCell ref="V139:W139"/>
    <mergeCell ref="X139:Y139"/>
    <mergeCell ref="G140:J140"/>
    <mergeCell ref="K140:N140"/>
    <mergeCell ref="O140:Q140"/>
    <mergeCell ref="R140:S140"/>
    <mergeCell ref="T140:U140"/>
    <mergeCell ref="V140:W140"/>
    <mergeCell ref="X140:Y140"/>
    <mergeCell ref="G141:J141"/>
    <mergeCell ref="K141:N141"/>
    <mergeCell ref="O141:Q141"/>
    <mergeCell ref="R141:S141"/>
    <mergeCell ref="T141:U141"/>
    <mergeCell ref="V141:W141"/>
    <mergeCell ref="X141:Y141"/>
    <mergeCell ref="G149:J149"/>
    <mergeCell ref="K149:N149"/>
    <mergeCell ref="O149:Q149"/>
    <mergeCell ref="R149:S149"/>
    <mergeCell ref="T149:U149"/>
    <mergeCell ref="V149:W149"/>
    <mergeCell ref="X149:Y149"/>
    <mergeCell ref="V152:W152"/>
    <mergeCell ref="X152:Y152"/>
    <mergeCell ref="G151:J151"/>
    <mergeCell ref="K151:W151"/>
    <mergeCell ref="G152:J152"/>
    <mergeCell ref="K152:N152"/>
    <mergeCell ref="O152:Q152"/>
    <mergeCell ref="R152:S152"/>
    <mergeCell ref="T152:U152"/>
    <mergeCell ref="G153:J153"/>
    <mergeCell ref="K153:N153"/>
    <mergeCell ref="O153:Q153"/>
    <mergeCell ref="R153:S153"/>
    <mergeCell ref="T153:U153"/>
    <mergeCell ref="V153:W153"/>
    <mergeCell ref="X153:Y153"/>
    <mergeCell ref="G154:J154"/>
    <mergeCell ref="K154:N154"/>
    <mergeCell ref="O154:Q154"/>
    <mergeCell ref="R154:S154"/>
    <mergeCell ref="T154:U154"/>
    <mergeCell ref="V154:W154"/>
    <mergeCell ref="X154:Y154"/>
    <mergeCell ref="G155:J155"/>
    <mergeCell ref="K155:N155"/>
    <mergeCell ref="O155:Q155"/>
    <mergeCell ref="R155:S155"/>
    <mergeCell ref="T155:U155"/>
    <mergeCell ref="V155:W155"/>
    <mergeCell ref="X155:Y155"/>
    <mergeCell ref="G156:J156"/>
    <mergeCell ref="K156:N156"/>
    <mergeCell ref="O156:Q156"/>
    <mergeCell ref="R156:S156"/>
    <mergeCell ref="T156:U156"/>
    <mergeCell ref="V156:W156"/>
    <mergeCell ref="X156:Y156"/>
    <mergeCell ref="G157:J157"/>
    <mergeCell ref="K157:N157"/>
    <mergeCell ref="O157:Q157"/>
    <mergeCell ref="R157:S157"/>
    <mergeCell ref="T157:U157"/>
    <mergeCell ref="V157:W157"/>
    <mergeCell ref="X157:Y157"/>
    <mergeCell ref="V160:W160"/>
    <mergeCell ref="X160:Y160"/>
    <mergeCell ref="G159:J159"/>
    <mergeCell ref="K159:W159"/>
    <mergeCell ref="G160:J160"/>
    <mergeCell ref="K160:N160"/>
    <mergeCell ref="O160:Q160"/>
    <mergeCell ref="R160:S160"/>
    <mergeCell ref="T160:U160"/>
    <mergeCell ref="G161:J161"/>
    <mergeCell ref="K161:N161"/>
    <mergeCell ref="O161:Q161"/>
    <mergeCell ref="R161:S161"/>
    <mergeCell ref="T161:U161"/>
    <mergeCell ref="V161:W161"/>
    <mergeCell ref="X161:Y161"/>
    <mergeCell ref="G162:J162"/>
    <mergeCell ref="K162:N162"/>
    <mergeCell ref="O162:Q162"/>
    <mergeCell ref="R162:S162"/>
    <mergeCell ref="T162:U162"/>
    <mergeCell ref="V162:W162"/>
    <mergeCell ref="X162:Y162"/>
    <mergeCell ref="G163:J163"/>
    <mergeCell ref="K163:N163"/>
    <mergeCell ref="O163:Q163"/>
    <mergeCell ref="R163:S163"/>
    <mergeCell ref="T163:U163"/>
    <mergeCell ref="V163:W163"/>
    <mergeCell ref="X163:Y163"/>
    <mergeCell ref="G164:J164"/>
    <mergeCell ref="K164:N164"/>
    <mergeCell ref="O164:Q164"/>
    <mergeCell ref="R164:S164"/>
    <mergeCell ref="T164:U164"/>
    <mergeCell ref="V164:W164"/>
    <mergeCell ref="X164:Y164"/>
    <mergeCell ref="G165:J165"/>
    <mergeCell ref="K165:N165"/>
    <mergeCell ref="O165:Q165"/>
    <mergeCell ref="R165:S165"/>
    <mergeCell ref="T165:U165"/>
    <mergeCell ref="V165:W165"/>
    <mergeCell ref="X165:Y165"/>
    <mergeCell ref="G198:J198"/>
    <mergeCell ref="K198:N198"/>
    <mergeCell ref="O198:Q198"/>
    <mergeCell ref="R198:S198"/>
    <mergeCell ref="T198:U198"/>
    <mergeCell ref="V198:W198"/>
    <mergeCell ref="X198:Y198"/>
    <mergeCell ref="G199:J199"/>
    <mergeCell ref="K199:N199"/>
    <mergeCell ref="O199:Q199"/>
    <mergeCell ref="R199:S199"/>
    <mergeCell ref="T199:U199"/>
    <mergeCell ref="V199:W199"/>
    <mergeCell ref="X199:Y199"/>
  </mergeCells>
  <drawing r:id="rId1"/>
</worksheet>
</file>