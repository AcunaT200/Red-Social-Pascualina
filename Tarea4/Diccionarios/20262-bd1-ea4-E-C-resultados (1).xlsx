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pos de Dato" sheetId="1" r:id="rId4"/>
    <sheet state="visible" name="Invetario de Tablas" sheetId="2" r:id="rId5"/>
    <sheet state="visible" name="Diccionario Datos - PostgreSQL" sheetId="3" r:id="rId6"/>
    <sheet state="visible" name="Diccionario Datos - MySQL" sheetId="4" r:id="rId7"/>
    <sheet state="visible" name="Diccionario Datos - MS SQL Serv" sheetId="5" r:id="rId8"/>
  </sheets>
  <definedNames/>
  <calcPr/>
  <extLst>
    <ext uri="GoogleSheetsCustomDataVersion2">
      <go:sheetsCustomData xmlns:go="http://customooxmlschemas.google.com/" r:id="rId9" roundtripDataChecksum="UOAxvOCmE8H3FFwxai+9SxDw0UWR4Q+NjBDBeAgtGOE="/>
    </ext>
  </extLst>
</workbook>
</file>

<file path=xl/sharedStrings.xml><?xml version="1.0" encoding="utf-8"?>
<sst xmlns="http://schemas.openxmlformats.org/spreadsheetml/2006/main" count="2605" uniqueCount="383">
  <si>
    <t>Tipos de Datos - Tabla Comparativa</t>
  </si>
  <si>
    <t>#</t>
  </si>
  <si>
    <t>Tipo de Dato Genérico</t>
  </si>
  <si>
    <t>Descripción</t>
  </si>
  <si>
    <t>En PosgreSQL Version 18</t>
  </si>
  <si>
    <t>En MySQL Version 8.0.46</t>
  </si>
  <si>
    <t>En MS SQL Server Version 17.0.1000.7</t>
  </si>
  <si>
    <t>Tipo de dato</t>
  </si>
  <si>
    <t>Dominio</t>
  </si>
  <si>
    <t>Tamaño Bytes</t>
  </si>
  <si>
    <t>AUTOINCREMENTABLE</t>
  </si>
  <si>
    <t>Genera automáticamente valores consecutivos.</t>
  </si>
  <si>
    <t>SERIAL</t>
  </si>
  <si>
    <t>Según el tipo numérico (TINYINT a BIGINT)</t>
  </si>
  <si>
    <t>4 BYTES</t>
  </si>
  <si>
    <t>AUTO_INCREMENT</t>
  </si>
  <si>
    <t>DEPENDE DEL TIPO</t>
  </si>
  <si>
    <t>IDENTITY</t>
  </si>
  <si>
    <t>UUID</t>
  </si>
  <si>
    <t>Identificador único de 128 bits.</t>
  </si>
  <si>
    <t>Cadenas de 128 bits / 32 dígitos hex en formato 8-4-4-4-12</t>
  </si>
  <si>
    <t>16 BYTES</t>
  </si>
  <si>
    <t>CHAR(36)</t>
  </si>
  <si>
    <t>Cadenas de 36 caracteres ASCII (formato UUID)</t>
  </si>
  <si>
    <t>36 BYTES</t>
  </si>
  <si>
    <t>UNIQUEIDENTIFIER</t>
  </si>
  <si>
    <t>ENTERO</t>
  </si>
  <si>
    <t>Números enteros sin decimales.</t>
  </si>
  <si>
    <t>INTEGER</t>
  </si>
  <si>
    <t>-2,147,483,648 a 2,147,483,647</t>
  </si>
  <si>
    <t>INT</t>
  </si>
  <si>
    <t>-2,147,483,648 a 2,147,483,647 (Signed)</t>
  </si>
  <si>
    <t>DECIMAL</t>
  </si>
  <si>
    <t>Números con decimales y precisión definida.</t>
  </si>
  <si>
    <t>NUMERIC</t>
  </si>
  <si>
    <t>Hasta 131,072 dígitos antes del decimal y 16,383 después</t>
  </si>
  <si>
    <t>VARIABLE</t>
  </si>
  <si>
    <t>Hasta 65 dígitos</t>
  </si>
  <si>
    <t>Hasta 38 dígitos</t>
  </si>
  <si>
    <t>LÓGICO</t>
  </si>
  <si>
    <t>Representa verdadero o falso.</t>
  </si>
  <si>
    <t>BOOLEAN</t>
  </si>
  <si>
    <t>true, false, null</t>
  </si>
  <si>
    <t>1 BYTE</t>
  </si>
  <si>
    <t>1, 0, null (alias de TINYINT(1))</t>
  </si>
  <si>
    <t>BIT</t>
  </si>
  <si>
    <t>1, 0, null</t>
  </si>
  <si>
    <t>TEXTO</t>
  </si>
  <si>
    <t>Almacena texto de longitud variable.</t>
  </si>
  <si>
    <t>TEXT</t>
  </si>
  <si>
    <t>Cadena de texto de longitud ilimitada (hasta 1 GB)</t>
  </si>
  <si>
    <t>Cadena de texto de hasta 65,535 bytes (~65 KB)</t>
  </si>
  <si>
    <t>VARCHAR(MAX)</t>
  </si>
  <si>
    <t>Cadena de caracteres de hasta 2 GB (VARCHAR(MAX))</t>
  </si>
  <si>
    <t>CARACTER</t>
  </si>
  <si>
    <t>Almacena caracteres de longitud fija.</t>
  </si>
  <si>
    <t>CHAR</t>
  </si>
  <si>
    <t>1 carácter</t>
  </si>
  <si>
    <t>Hasta 255 caracteres</t>
  </si>
  <si>
    <t>Hasta 8,000 caracteres</t>
  </si>
  <si>
    <t>FECHA</t>
  </si>
  <si>
    <t>Almacena una fecha sin hora.</t>
  </si>
  <si>
    <t>DATE</t>
  </si>
  <si>
    <t>4713 a.C. a 5874897 d.C. (YYYY-MM-DD)</t>
  </si>
  <si>
    <t>1000-01-01 a 9999-12-31 (YYYY-MM-DD)</t>
  </si>
  <si>
    <t>3 BYTES</t>
  </si>
  <si>
    <t>0001-01-01 a 9999-12-31 (YYYY-MM-DD)</t>
  </si>
  <si>
    <t>FECHA_HORA</t>
  </si>
  <si>
    <t>Almacena fecha y hora.</t>
  </si>
  <si>
    <t>TIMESTAMP</t>
  </si>
  <si>
    <t>4713 a.C. a 294276 d.C.</t>
  </si>
  <si>
    <t>8 BYTES</t>
  </si>
  <si>
    <t>DATETIME</t>
  </si>
  <si>
    <t>1000-01-01 00:00:00 a 9999-12-31 23:59:59</t>
  </si>
  <si>
    <t>DATETIME2</t>
  </si>
  <si>
    <t>0001-01-01 a 9999-12-31 (precisión de 100 ns)</t>
  </si>
  <si>
    <t>6–8 BYTES</t>
  </si>
  <si>
    <t>HORA</t>
  </si>
  <si>
    <t>Almacena solamente la hora.</t>
  </si>
  <si>
    <t>TIME</t>
  </si>
  <si>
    <t>00:00:00 a 24:00:00</t>
  </si>
  <si>
    <t xml:space="preserve">8 BYTES </t>
  </si>
  <si>
    <t>-838:59:59 a 838:59:59</t>
  </si>
  <si>
    <t>3–6 BYTES</t>
  </si>
  <si>
    <t>00:00:00.0000000 a 23:59:59.9999999</t>
  </si>
  <si>
    <t>3–5 BYTES</t>
  </si>
  <si>
    <t>URL</t>
  </si>
  <si>
    <t>Almacena direcciones web.</t>
  </si>
  <si>
    <t>VARCHAR</t>
  </si>
  <si>
    <t>Cadena de texto variable (hasta 1 GB)</t>
  </si>
  <si>
    <t>Cadena de texto variable (hasta 65,535 bytes)</t>
  </si>
  <si>
    <t>Cadena de caracteres de hasta 8,000 caracteres</t>
  </si>
  <si>
    <t>ENUM</t>
  </si>
  <si>
    <t>Permite valores de una lista definida.</t>
  </si>
  <si>
    <t>Lista estática de elementos definidos por el usuario</t>
  </si>
  <si>
    <t>Lista estática de hasta 65,535 elementos</t>
  </si>
  <si>
    <t>1–2 BYTES</t>
  </si>
  <si>
    <t>VARCHAR + CHECK</t>
  </si>
  <si>
    <t>Definido por restricción CHECK (col IN ('A', 'B'))</t>
  </si>
  <si>
    <t xml:space="preserve">TEXTO_CORTO </t>
  </si>
  <si>
    <t>Almacena texto de longitud limitada.</t>
  </si>
  <si>
    <t>Cadena de texto variable (hasta 1 GB o limitado por n)</t>
  </si>
  <si>
    <t>Cadena de texto de 1 a 65,535 caracteres</t>
  </si>
  <si>
    <t>Cadena de caracteres de 1 a 8,000 caracteres</t>
  </si>
  <si>
    <t>BINARIO</t>
  </si>
  <si>
    <t>Almacena datos binarios.</t>
  </si>
  <si>
    <t>BYTEA</t>
  </si>
  <si>
    <t>Datos binarios de longitud variable (hasta 1 GB)</t>
  </si>
  <si>
    <t>BLOB</t>
  </si>
  <si>
    <t>Datos binarios de hasta 65,535 bytes (BLOB)</t>
  </si>
  <si>
    <t>VARBINARY(MAX)</t>
  </si>
  <si>
    <t>Datos binarios de hasta 2 GB (VARBINARY(MAX))</t>
  </si>
  <si>
    <t>JSON</t>
  </si>
  <si>
    <t>Almacena datos en formato JSON.</t>
  </si>
  <si>
    <t>Documento con sintaxis JSON válida</t>
  </si>
  <si>
    <t>NVARCHAR(MAX)</t>
  </si>
  <si>
    <t>Documento con sintaxis JSON válida (almacenado en NVARCHAR(MAX))</t>
  </si>
  <si>
    <t>JSONB</t>
  </si>
  <si>
    <t>JSON en formato binario optimizado.</t>
  </si>
  <si>
    <t>Documento JSON válido descompuesto (binario optimizado)</t>
  </si>
  <si>
    <t>Documento JSON válido optimizado en binario</t>
  </si>
  <si>
    <t>Documento JSON válido (almacenado en NVARCHAR(MAX))</t>
  </si>
  <si>
    <t>IMAGEN</t>
  </si>
  <si>
    <t>Almacena imágenes como datos binarios.</t>
  </si>
  <si>
    <t>Datos binarios de imágenes (hasta 1 GB)</t>
  </si>
  <si>
    <t>Datos binarios de imágenes (hasta 65,535 bytes o LONGBLOB de 4 GB)</t>
  </si>
  <si>
    <t>Datos binarios de imágenes (hasta 2 GB)</t>
  </si>
  <si>
    <t>AUDIO</t>
  </si>
  <si>
    <t>Almacena audio como datos binarios.</t>
  </si>
  <si>
    <t>Datos binarios de audio (hasta 1 GB)</t>
  </si>
  <si>
    <t>Datos binarios de audio (hasta 65,535 bytes o LONGBLOB de 4 GB)</t>
  </si>
  <si>
    <t>Datos binarios de audio (hasta 2 GB)</t>
  </si>
  <si>
    <t>Modelo Lógico -  Tablas resultantes del Diccionario Genérico  (corregido)</t>
  </si>
  <si>
    <t>INVENTARIO DE TABLAS
Este inventario es el mismo para los 3 SGBDs: PostgreSQL, MySQL y MS SQL Server. Todos los diccionarios deben tomar la misma cantidad y los mismos nombres de esta tablas</t>
  </si>
  <si>
    <t>Tabla</t>
  </si>
  <si>
    <t>Descripción Tabla</t>
  </si>
  <si>
    <t>Observaciones</t>
  </si>
  <si>
    <t>usuario</t>
  </si>
  <si>
    <t>datos del usuario dentro de la red social</t>
  </si>
  <si>
    <t>rol</t>
  </si>
  <si>
    <t>rol del usuario dentro de la red social</t>
  </si>
  <si>
    <t>tipo_usuario</t>
  </si>
  <si>
    <t>el tipo de puesto que tiene dentro de la institucion o en la red social</t>
  </si>
  <si>
    <t>perfil</t>
  </si>
  <si>
    <t>descripción del usuario</t>
  </si>
  <si>
    <t>publicacion</t>
  </si>
  <si>
    <t>difusión informativa sobre temas de interés universitarios</t>
  </si>
  <si>
    <t>comentario</t>
  </si>
  <si>
    <t>opinión de los integrantes de la red pascualina</t>
  </si>
  <si>
    <t>grupo</t>
  </si>
  <si>
    <t>interaccion de un grupo</t>
  </si>
  <si>
    <t>tipo_servicio</t>
  </si>
  <si>
    <t>tipos de asistencias que se brindan a los usuarios</t>
  </si>
  <si>
    <t>servicio</t>
  </si>
  <si>
    <t>asistencia en la necesidad que puedan tener los usuarios</t>
  </si>
  <si>
    <t>tipo_producto</t>
  </si>
  <si>
    <t>interaccion de un tipo de producto</t>
  </si>
  <si>
    <t>producto</t>
  </si>
  <si>
    <t>artículos disponibles en la plataforma</t>
  </si>
  <si>
    <t>tipo_evento</t>
  </si>
  <si>
    <t>interaccion de un tipo de evento</t>
  </si>
  <si>
    <t>evento</t>
  </si>
  <si>
    <t>organización de grandes reuniones que incitan el aprendizaje</t>
  </si>
  <si>
    <t>venta</t>
  </si>
  <si>
    <t>transacción entre el usuario y un vendedor a través de la red social pascualina</t>
  </si>
  <si>
    <t>publicidad</t>
  </si>
  <si>
    <t>apartado que promociona un evento, servicios y demás</t>
  </si>
  <si>
    <t>reaccion</t>
  </si>
  <si>
    <t>muestra de que el comentario o la publicación fue recibida de buena o mala manera por los usuarios</t>
  </si>
  <si>
    <t>notificacion</t>
  </si>
  <si>
    <t xml:space="preserve">aviso sobre algun mensaje de la red social pascualina </t>
  </si>
  <si>
    <t>mensaje</t>
  </si>
  <si>
    <t>interacción privada entre los usuarios a través de la red social</t>
  </si>
  <si>
    <t>solicitud_servicio</t>
  </si>
  <si>
    <t>interaccion de un usuario de un tipo de servicio</t>
  </si>
  <si>
    <t>miembro_grupo</t>
  </si>
  <si>
    <t>interaccion de un usuario a un grupo</t>
  </si>
  <si>
    <t>inscripcion_evento</t>
  </si>
  <si>
    <t>interaccion de un usuario a un evento</t>
  </si>
  <si>
    <t>reaccion_comentario</t>
  </si>
  <si>
    <t>Cantidad de reacciones que recibe un comentario</t>
  </si>
  <si>
    <t>tipo_usuario_usuario</t>
  </si>
  <si>
    <t>nace de la relacion usuario a un tipo de usuario</t>
  </si>
  <si>
    <t>publicidad_reaccion</t>
  </si>
  <si>
    <t>nace de la relacion publicidad y reaccion</t>
  </si>
  <si>
    <t>PostgreSQL - Tablas en Detalle</t>
  </si>
  <si>
    <t>Versión</t>
  </si>
  <si>
    <t>Campo</t>
  </si>
  <si>
    <t>Descripción Campo</t>
  </si>
  <si>
    <t>Tipo Dato - PostgreSQL</t>
  </si>
  <si>
    <t>Tamaño</t>
  </si>
  <si>
    <t>Nulo</t>
  </si>
  <si>
    <t>PK</t>
  </si>
  <si>
    <t>FK</t>
  </si>
  <si>
    <t>UK</t>
  </si>
  <si>
    <t>Nota/Comentarios</t>
  </si>
  <si>
    <t>id_cedula</t>
  </si>
  <si>
    <t>documento con el que se puede identificar al usuario</t>
  </si>
  <si>
    <t>integer</t>
  </si>
  <si>
    <t>No</t>
  </si>
  <si>
    <t>S</t>
  </si>
  <si>
    <t>p_nombre</t>
  </si>
  <si>
    <t>primer nombre del usuario</t>
  </si>
  <si>
    <t>varchar</t>
  </si>
  <si>
    <t>s_nombre</t>
  </si>
  <si>
    <t>segundo nombre del usuario</t>
  </si>
  <si>
    <t>Si</t>
  </si>
  <si>
    <t>p_apellido</t>
  </si>
  <si>
    <t>primer apellido del usuario</t>
  </si>
  <si>
    <t>s_apellido</t>
  </si>
  <si>
    <t>segundo apellido del usuario</t>
  </si>
  <si>
    <t>direccion</t>
  </si>
  <si>
    <t>lugar de residencia del usuario</t>
  </si>
  <si>
    <t>correo</t>
  </si>
  <si>
    <t>método de contacto para la comunicación y recibimiento de informacion y envio de informacion</t>
  </si>
  <si>
    <t>clave</t>
  </si>
  <si>
    <t>números y caracteres que delimitan y protegen el acceso a una cuenta</t>
  </si>
  <si>
    <t>nombre_usuario</t>
  </si>
  <si>
    <t>nombre que verán los demás usuarios de la red social pascualina</t>
  </si>
  <si>
    <t>id_rol</t>
  </si>
  <si>
    <t>identificación por número a cada uno de los roles</t>
  </si>
  <si>
    <t xml:space="preserve">integer			</t>
  </si>
  <si>
    <t>N</t>
  </si>
  <si>
    <t>serial</t>
  </si>
  <si>
    <t>nombre_rol</t>
  </si>
  <si>
    <t>nombre de los roles de la base de datos</t>
  </si>
  <si>
    <t>id_tipo_usuario</t>
  </si>
  <si>
    <t>Identificación por número a cada uno de los tipos de usuario que puede haber</t>
  </si>
  <si>
    <t>Autoincrementable — el sistema genera el valor automáticamente</t>
  </si>
  <si>
    <t>n_tipo_usuario</t>
  </si>
  <si>
    <t>nombre identificatorio de los tipos de usuario que cumple dentro de la institución universitaria, ya sea profesor estudiante egresado o empleado etc.</t>
  </si>
  <si>
    <t>identificación por número a cada uno de los perfiles de la red social</t>
  </si>
  <si>
    <t>Es fk y pk para que un usuario no tenga varios perfiles</t>
  </si>
  <si>
    <t>area_estudio</t>
  </si>
  <si>
    <t>área de especialización y enfoque del usuario</t>
  </si>
  <si>
    <t>descripcion_perfil</t>
  </si>
  <si>
    <t>preferencias del usuario dirigidas a lo que le gusta</t>
  </si>
  <si>
    <t>id_publicacion</t>
  </si>
  <si>
    <t>identificación por número de la publicación</t>
  </si>
  <si>
    <t>categoria_publicacion</t>
  </si>
  <si>
    <t>categoría y etiqueta de clasificación de la publicación</t>
  </si>
  <si>
    <t>contenido_publicacion</t>
  </si>
  <si>
    <t>información de la publicación, puede ser en texto, imágenes, documentos, etc</t>
  </si>
  <si>
    <t>fecha_publicacion</t>
  </si>
  <si>
    <t>fecha y hora de creación de la publicación</t>
  </si>
  <si>
    <t>date</t>
  </si>
  <si>
    <t>id_comentario</t>
  </si>
  <si>
    <t>identificación por número del comentario</t>
  </si>
  <si>
    <t>contenido_comentario</t>
  </si>
  <si>
    <t>opinión del usuario, pueden ser en diferentes formarlos como texto, imágenes, documentos, etc</t>
  </si>
  <si>
    <t>fecha_comentario</t>
  </si>
  <si>
    <t>comentario_creador</t>
  </si>
  <si>
    <t>comentario hecho por el creador de la publicación el cual tiene prioridad de visibilidad</t>
  </si>
  <si>
    <t>comentario_ordinario</t>
  </si>
  <si>
    <t>opiniones realizadas por usuarios acerca de una publicación</t>
  </si>
  <si>
    <t>id_publicidad</t>
  </si>
  <si>
    <t>identificación por número de la publicidad</t>
  </si>
  <si>
    <t>id_grupo</t>
  </si>
  <si>
    <t>Identificación por número del grupo</t>
  </si>
  <si>
    <t>nombre_grupo</t>
  </si>
  <si>
    <t>identificación de los nombres de los grupos</t>
  </si>
  <si>
    <t>descripcion_grupo</t>
  </si>
  <si>
    <t>breve información de lo que trata el grupo</t>
  </si>
  <si>
    <t>categoria_grupo</t>
  </si>
  <si>
    <t>tipo de grupo que se forma</t>
  </si>
  <si>
    <t>id_tipo_servicio</t>
  </si>
  <si>
    <t>Identificación por número de cada parte del tipo de servicio</t>
  </si>
  <si>
    <t>n_tipo_servicio</t>
  </si>
  <si>
    <t>Ayuda y orientación dirigido a la mejora académica del usuario</t>
  </si>
  <si>
    <t>identificación por número de cada parte del tipo de servicio</t>
  </si>
  <si>
    <t>personas encargadas de proporcionar estos servicios</t>
  </si>
  <si>
    <t>id_servicio</t>
  </si>
  <si>
    <t>identificador de el servicio que se van a realizar o se realizaron</t>
  </si>
  <si>
    <t>id_tipo_producto</t>
  </si>
  <si>
    <t>identificación por número de cada parte de los tipos de productos</t>
  </si>
  <si>
    <t>n_tipo_producto</t>
  </si>
  <si>
    <t>clasificación por nombre de los tipos de productos existentes o disponibles ya sea ropa etc…</t>
  </si>
  <si>
    <t>nombre_producto</t>
  </si>
  <si>
    <t>identificación por nombre del producto</t>
  </si>
  <si>
    <t>precio_producto</t>
  </si>
  <si>
    <t>identificación del valor del producto</t>
  </si>
  <si>
    <t>numeric</t>
  </si>
  <si>
    <t>identificación del tipo del producto</t>
  </si>
  <si>
    <t>id_producto</t>
  </si>
  <si>
    <t>identificación del producto</t>
  </si>
  <si>
    <t>id_tipo_evento</t>
  </si>
  <si>
    <t>identificación por número de cada parte de los tipos de eventos</t>
  </si>
  <si>
    <t>n_tipo_evento</t>
  </si>
  <si>
    <t>espacio para el congreso</t>
  </si>
  <si>
    <t>nombre_evento</t>
  </si>
  <si>
    <t>nombre destinado que se le da a cada uno de los eventos</t>
  </si>
  <si>
    <t>fecha_evento</t>
  </si>
  <si>
    <t>dia en el cual se realizará el evento</t>
  </si>
  <si>
    <t>hora_evento</t>
  </si>
  <si>
    <t>hora que da comienzo al evento</t>
  </si>
  <si>
    <t>lugar_evento</t>
  </si>
  <si>
    <t>sitio en el cual se realizará el evento</t>
  </si>
  <si>
    <t>persona que crea el evento</t>
  </si>
  <si>
    <t>id_evento</t>
  </si>
  <si>
    <t>identificador para permitir varios servicios</t>
  </si>
  <si>
    <t>id_venta</t>
  </si>
  <si>
    <t>identificación por número de ventas o servicios</t>
  </si>
  <si>
    <t xml:space="preserve">serial			</t>
  </si>
  <si>
    <t>id_cedula_comprador</t>
  </si>
  <si>
    <t>id_cedula_vendedor</t>
  </si>
  <si>
    <t xml:space="preserve">identificacion del vendedor del producto asignado
</t>
  </si>
  <si>
    <t>identificación por número del producto</t>
  </si>
  <si>
    <t>fecha_venta</t>
  </si>
  <si>
    <t>fecha en la que se finalizó la venta</t>
  </si>
  <si>
    <t>metodo_pago_venta</t>
  </si>
  <si>
    <t>transferencia nequi,transferencia bancolombia, físico, entre otros.</t>
  </si>
  <si>
    <t>titulo_publicidad</t>
  </si>
  <si>
    <t>nombre del título de la campaña</t>
  </si>
  <si>
    <t>contenido_publicidad</t>
  </si>
  <si>
    <t>contenido de la publicidad</t>
  </si>
  <si>
    <t>enlace_destino</t>
  </si>
  <si>
    <t>enlace directo del destino del mensaje/publicación</t>
  </si>
  <si>
    <t xml:space="preserve">varchar			</t>
  </si>
  <si>
    <t>fecha específica de la publicación</t>
  </si>
  <si>
    <t>Id_publicacion</t>
  </si>
  <si>
    <t>identificación por número de la publicacion</t>
  </si>
  <si>
    <t>id_reaccion</t>
  </si>
  <si>
    <t>Identificado de reaccion</t>
  </si>
  <si>
    <t>id_notificacion</t>
  </si>
  <si>
    <t>id_identificacion_emisor</t>
  </si>
  <si>
    <t>id_identificacion_receptor</t>
  </si>
  <si>
    <t>identificación del usuario que recibe el mensaje</t>
  </si>
  <si>
    <t>Informacion_notificacion</t>
  </si>
  <si>
    <t>información de la notificación</t>
  </si>
  <si>
    <t>fecha_notificacion</t>
  </si>
  <si>
    <t>fecha de la notificación enviada/recibida</t>
  </si>
  <si>
    <t>id_cedula_emisor</t>
  </si>
  <si>
    <t>identificación de cédula del emisor</t>
  </si>
  <si>
    <t>id _cedula _receptor</t>
  </si>
  <si>
    <t>identificación de cédula del receptor</t>
  </si>
  <si>
    <t>argumento_mensaje</t>
  </si>
  <si>
    <t>todo lo que contiene el mensaje enviado</t>
  </si>
  <si>
    <t>id_mensaje</t>
  </si>
  <si>
    <t>identificación del mensaje</t>
  </si>
  <si>
    <t>fecha_envio</t>
  </si>
  <si>
    <t>id_solicitud_servicio</t>
  </si>
  <si>
    <t>identificación por número de cada parte del servicio</t>
  </si>
  <si>
    <t>fecha_solicitud</t>
  </si>
  <si>
    <t>fecha de la solicitud del servicio</t>
  </si>
  <si>
    <t>estado_solicitud</t>
  </si>
  <si>
    <t>estado de la solicitud del servicio</t>
  </si>
  <si>
    <t>precio_solicitud</t>
  </si>
  <si>
    <t>precio del valor de la solicitud del servicio</t>
  </si>
  <si>
    <t>documento con el que se puede identificar al usuario que perenece a un grupo</t>
  </si>
  <si>
    <t>fecha_ingreso</t>
  </si>
  <si>
    <t>fecha en la que inicio el usuario en grupo</t>
  </si>
  <si>
    <t>documento con el que se puede identificar al usuario que asiste a los eventos</t>
  </si>
  <si>
    <t>identificación por número de los tipos de eventos</t>
  </si>
  <si>
    <t>fecha_inscripcion</t>
  </si>
  <si>
    <t>fecha en la que se incribio el usuario al evento</t>
  </si>
  <si>
    <t>documento con el que se puede identificar al usuario que reacciona al comentario</t>
  </si>
  <si>
    <t>id_reaccion_comentario</t>
  </si>
  <si>
    <t>Identificación por número de cada reacción a un comentario</t>
  </si>
  <si>
    <t>Comentario al que se reacciona</t>
  </si>
  <si>
    <t>tipo_reaccion</t>
  </si>
  <si>
    <t>Tipo de reacción emitida</t>
  </si>
  <si>
    <t>fecha_reaccion</t>
  </si>
  <si>
    <t>Fecha en la que se registró la reacción</t>
  </si>
  <si>
    <t>fecha_asignacion</t>
  </si>
  <si>
    <t>Fecha desde la cual el usuario tiene ese tipo</t>
  </si>
  <si>
    <t>id_publicidad_reaccion</t>
  </si>
  <si>
    <t>Identificación por número de cada reacción a una publicidad</t>
  </si>
  <si>
    <r>
      <rPr>
        <rFont val="Calibri"/>
        <b/>
        <i/>
        <color rgb="FFB45F06"/>
        <sz val="17.0"/>
      </rPr>
      <t xml:space="preserve">Puede seguir agregando tablas. Solamente tiene que copiar y pegar hacia abajo hasta que complete todas las tablas 
</t>
    </r>
    <r>
      <rPr>
        <rFont val="Calibri"/>
        <b/>
        <i/>
        <color rgb="FFFF0000"/>
        <sz val="17.0"/>
      </rPr>
      <t>OJO - ATENCIÓN</t>
    </r>
    <r>
      <rPr>
        <rFont val="Calibri"/>
        <b/>
        <i/>
        <color rgb="FF980000"/>
        <sz val="17.0"/>
      </rPr>
      <t xml:space="preserve"> - RECUERDE COLOCAR LAS REFERENCIAS DE  LAS TABLAS</t>
    </r>
    <r>
      <rPr>
        <rFont val="Calibri"/>
        <b/>
        <i/>
        <color rgb="FFFF0000"/>
        <sz val="17.0"/>
      </rPr>
      <t xml:space="preserve">: </t>
    </r>
    <r>
      <rPr>
        <rFont val="Calibri"/>
        <b/>
        <i/>
        <color rgb="FF0000FF"/>
        <sz val="17.0"/>
      </rPr>
      <t>NÚMERO , NOMBRE, DESCRIPCIóN</t>
    </r>
  </si>
  <si>
    <t>MySQL - Tablas en Detalle</t>
  </si>
  <si>
    <t>1.0</t>
  </si>
  <si>
    <t>Tipo Dato - MySQL</t>
  </si>
  <si>
    <t>int</t>
  </si>
  <si>
    <t xml:space="preserve">int                      </t>
  </si>
  <si>
    <t>auto_increment</t>
  </si>
  <si>
    <t>decimal</t>
  </si>
  <si>
    <t>id_mensaje_emisor</t>
  </si>
  <si>
    <t>id _mensaje _receptor</t>
  </si>
  <si>
    <r>
      <rPr>
        <rFont val="Calibri"/>
        <b/>
        <i/>
        <color rgb="FFB45F06"/>
        <sz val="17.0"/>
      </rPr>
      <t xml:space="preserve">Puede seguir agregando tablas. Solamente tiene que copiar y pegar hacia abajo hasta que complete todas las tablas 
</t>
    </r>
    <r>
      <rPr>
        <rFont val="Calibri"/>
        <b/>
        <i/>
        <color rgb="FFFF0000"/>
        <sz val="17.0"/>
      </rPr>
      <t>OJO - ATENCIÓN</t>
    </r>
    <r>
      <rPr>
        <rFont val="Calibri"/>
        <b/>
        <i/>
        <color rgb="FF980000"/>
        <sz val="17.0"/>
      </rPr>
      <t xml:space="preserve"> - RECUERDE COLOCAR LAS REFERENCIAS DE  LAS TABLAS</t>
    </r>
    <r>
      <rPr>
        <rFont val="Calibri"/>
        <b/>
        <i/>
        <color rgb="FFFF0000"/>
        <sz val="17.0"/>
      </rPr>
      <t xml:space="preserve">: </t>
    </r>
    <r>
      <rPr>
        <rFont val="Calibri"/>
        <b/>
        <i/>
        <color rgb="FF0000FF"/>
        <sz val="17.0"/>
      </rPr>
      <t>NÚMERO , NOMBRE, DESCRIPCIóN</t>
    </r>
  </si>
  <si>
    <t>MS SQL Server - Tablas en Detalle</t>
  </si>
  <si>
    <t>Tipo Dato - MS SQL Server</t>
  </si>
  <si>
    <t xml:space="preserve">Tamaño </t>
  </si>
  <si>
    <t>identity</t>
  </si>
  <si>
    <r>
      <rPr>
        <rFont val="Calibri"/>
        <b/>
        <i/>
        <color rgb="FFB45F06"/>
        <sz val="17.0"/>
      </rPr>
      <t xml:space="preserve">Puede seguir agregando tablas. Solamente tiene que copiar y pegar hacia abajo hasta que complete todas las tablas 
</t>
    </r>
    <r>
      <rPr>
        <rFont val="Calibri"/>
        <b/>
        <i/>
        <color rgb="FFFF0000"/>
        <sz val="17.0"/>
      </rPr>
      <t>OJO - ATENCIÓN</t>
    </r>
    <r>
      <rPr>
        <rFont val="Calibri"/>
        <b/>
        <i/>
        <color rgb="FF980000"/>
        <sz val="17.0"/>
      </rPr>
      <t xml:space="preserve"> - RECUERDE COLOCAR LAS REFERENCIAS DE  LAS TABLAS</t>
    </r>
    <r>
      <rPr>
        <rFont val="Calibri"/>
        <b/>
        <i/>
        <color rgb="FFFF0000"/>
        <sz val="17.0"/>
      </rPr>
      <t xml:space="preserve">: </t>
    </r>
    <r>
      <rPr>
        <rFont val="Calibri"/>
        <b/>
        <i/>
        <color rgb="FF0000FF"/>
        <sz val="17.0"/>
      </rPr>
      <t>NÚMERO , NOMBRE, DESCRIPCIóN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</si>
</sst>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7">
    <font>
      <sz val="10.0"/>
      <color rgb="FF000000"/>
      <name val="Arial"/>
      <scheme val="minor"/>
    </font>
    <font>
      <b/>
      <sz val="18.0"/>
      <color rgb="FF000000"/>
      <name val="Calibri"/>
    </font>
    <font>
      <b/>
      <sz val="18.0"/>
      <color rgb="FFFFFFFF"/>
      <name val="Calibri"/>
    </font>
    <font>
      <b/>
      <sz val="16.0"/>
      <color rgb="FF000000"/>
      <name val="Calibri"/>
    </font>
    <font>
      <b/>
      <sz val="16.0"/>
      <color rgb="FFFFFFFF"/>
      <name val="Calibri"/>
    </font>
    <font/>
    <font>
      <b/>
      <sz val="16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b/>
      <sz val="11.0"/>
      <color theme="1"/>
      <name val="Arial"/>
      <scheme val="minor"/>
    </font>
    <font>
      <b/>
      <sz val="15.0"/>
      <color rgb="FFFFFFFF"/>
      <name val="Calibri"/>
    </font>
    <font>
      <b/>
      <sz val="17.0"/>
      <color rgb="FFFFFFFF"/>
      <name val="Calibri"/>
    </font>
    <font>
      <b/>
      <sz val="17.0"/>
      <color rgb="FF000000"/>
      <name val="Calibri"/>
    </font>
    <font>
      <b/>
      <sz val="20.0"/>
      <color rgb="FFFFFFFF"/>
      <name val="Calibri"/>
    </font>
    <font>
      <b/>
      <sz val="16.0"/>
      <color rgb="FF0000FF"/>
      <name val="Calibri"/>
    </font>
    <font>
      <b/>
      <sz val="12.0"/>
      <color rgb="FFFFFFFF"/>
      <name val="Calibri"/>
    </font>
    <font>
      <sz val="12.0"/>
      <color theme="1"/>
      <name val="Arial"/>
    </font>
    <font>
      <sz val="12.0"/>
      <color theme="1"/>
      <name val="Calibri"/>
    </font>
    <font>
      <b/>
      <sz val="12.0"/>
      <color theme="1"/>
      <name val="Arial"/>
    </font>
    <font>
      <color theme="1"/>
      <name val="Arial"/>
    </font>
    <font>
      <b/>
      <sz val="16.0"/>
      <color theme="1"/>
      <name val="Arial"/>
      <scheme val="minor"/>
    </font>
    <font>
      <color theme="1"/>
      <name val="Arial"/>
      <scheme val="minor"/>
    </font>
    <font>
      <sz val="16.0"/>
      <color theme="1"/>
      <name val="Calibri"/>
    </font>
    <font>
      <b/>
      <sz val="16.0"/>
      <color theme="1"/>
      <name val="Arial"/>
    </font>
    <font>
      <sz val="16.0"/>
      <color theme="1"/>
      <name val="Arial"/>
    </font>
    <font>
      <b/>
      <i/>
      <sz val="17.0"/>
      <color rgb="FFFF0000"/>
      <name val="Calibri"/>
    </font>
    <font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rgb="FF0B5394"/>
        <bgColor rgb="FF0B5394"/>
      </patternFill>
    </fill>
    <fill>
      <patternFill patternType="solid">
        <fgColor rgb="FF980000"/>
        <bgColor rgb="FF980000"/>
      </patternFill>
    </fill>
    <fill>
      <patternFill patternType="solid">
        <fgColor rgb="FF7F6000"/>
        <bgColor rgb="FF7F6000"/>
      </patternFill>
    </fill>
    <fill>
      <patternFill patternType="solid">
        <fgColor rgb="FFCFE2F3"/>
        <bgColor rgb="FFCFE2F3"/>
      </patternFill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</fills>
  <borders count="3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1" fillId="4" fontId="3" numFmtId="0" xfId="0" applyAlignment="1" applyBorder="1" applyFill="1" applyFont="1">
      <alignment horizontal="center" shrinkToFit="0" vertical="center" wrapText="1"/>
    </xf>
    <xf borderId="2" fillId="5" fontId="4" numFmtId="0" xfId="0" applyAlignment="1" applyBorder="1" applyFill="1" applyFont="1">
      <alignment horizontal="center" readingOrder="0" shrinkToFit="0" vertical="center" wrapText="1"/>
    </xf>
    <xf borderId="3" fillId="0" fontId="5" numFmtId="0" xfId="0" applyBorder="1" applyFont="1"/>
    <xf borderId="4" fillId="0" fontId="5" numFmtId="0" xfId="0" applyBorder="1" applyFont="1"/>
    <xf borderId="2" fillId="6" fontId="4" numFmtId="0" xfId="0" applyAlignment="1" applyBorder="1" applyFill="1" applyFont="1">
      <alignment horizontal="center" readingOrder="0" shrinkToFit="0" vertical="center" wrapText="1"/>
    </xf>
    <xf borderId="2" fillId="7" fontId="4" numFmtId="0" xfId="0" applyAlignment="1" applyBorder="1" applyFill="1" applyFont="1">
      <alignment horizontal="center" readingOrder="0" shrinkToFit="0" vertical="center" wrapText="1"/>
    </xf>
    <xf borderId="2" fillId="8" fontId="6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8" fontId="8" numFmtId="0" xfId="0" applyAlignment="1" applyBorder="1" applyFill="1" applyFont="1">
      <alignment horizontal="center" readingOrder="0" vertical="center"/>
    </xf>
    <xf borderId="1" fillId="0" fontId="6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readingOrder="0"/>
    </xf>
    <xf borderId="1" fillId="0" fontId="9" numFmtId="0" xfId="0" applyAlignment="1" applyBorder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9" fontId="10" numFmtId="0" xfId="0" applyAlignment="1" applyFill="1" applyFont="1">
      <alignment horizontal="center" vertical="center"/>
    </xf>
    <xf borderId="0" fillId="6" fontId="11" numFmtId="0" xfId="0" applyAlignment="1" applyFill="1" applyFont="1">
      <alignment horizontal="center" shrinkToFit="0" vertical="center" wrapText="1"/>
    </xf>
    <xf borderId="1" fillId="4" fontId="12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shrinkToFit="0" wrapText="1"/>
    </xf>
    <xf borderId="1" fillId="0" fontId="6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/>
    </xf>
    <xf borderId="1" fillId="0" fontId="6" numFmtId="0" xfId="0" applyBorder="1" applyFont="1"/>
    <xf borderId="1" fillId="0" fontId="6" numFmtId="0" xfId="0" applyAlignment="1" applyBorder="1" applyFont="1">
      <alignment horizontal="left" vertical="center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vertical="center"/>
    </xf>
    <xf borderId="0" fillId="5" fontId="13" numFmtId="0" xfId="0" applyAlignment="1" applyFill="1" applyFont="1">
      <alignment horizontal="center" vertical="center"/>
    </xf>
    <xf borderId="5" fillId="10" fontId="14" numFmtId="0" xfId="0" applyAlignment="1" applyBorder="1" applyFill="1" applyFont="1">
      <alignment horizontal="center" shrinkToFit="0" vertical="center" wrapText="1"/>
    </xf>
    <xf borderId="6" fillId="5" fontId="4" numFmtId="0" xfId="0" applyAlignment="1" applyBorder="1" applyFill="1" applyFont="1">
      <alignment horizontal="center" shrinkToFit="0" vertical="center" wrapText="1"/>
    </xf>
    <xf borderId="6" fillId="3" fontId="6" numFmtId="0" xfId="0" applyAlignment="1" applyBorder="1" applyFill="1" applyFont="1">
      <alignment horizontal="center" shrinkToFit="0" vertical="center" wrapText="1"/>
    </xf>
    <xf borderId="7" fillId="0" fontId="5" numFmtId="0" xfId="0" applyBorder="1" applyFont="1"/>
    <xf borderId="8" fillId="0" fontId="5" numFmtId="0" xfId="0" applyBorder="1" applyFont="1"/>
    <xf borderId="6" fillId="0" fontId="3" numFmtId="0" xfId="0" applyAlignment="1" applyBorder="1" applyFont="1">
      <alignment horizontal="center" shrinkToFit="0" vertical="center" wrapText="1"/>
    </xf>
    <xf borderId="9" fillId="5" fontId="4" numFmtId="0" xfId="0" applyAlignment="1" applyBorder="1" applyFill="1" applyFont="1">
      <alignment horizontal="center" shrinkToFit="0" vertical="center" wrapText="1"/>
    </xf>
    <xf borderId="10" fillId="3" fontId="6" numFmtId="164" xfId="0" applyAlignment="1" applyBorder="1" applyFill="1" applyFont="1" applyNumberFormat="1">
      <alignment horizontal="center" readingOrder="0" shrinkToFit="0" vertical="center" wrapText="1"/>
    </xf>
    <xf borderId="11" fillId="5" fontId="15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2" fillId="5" fontId="4" numFmtId="0" xfId="0" applyAlignment="1" applyBorder="1" applyFill="1" applyFont="1">
      <alignment horizontal="center" shrinkToFit="0" vertical="center" wrapText="1"/>
    </xf>
    <xf borderId="12" fillId="0" fontId="5" numFmtId="0" xfId="0" applyBorder="1" applyFont="1"/>
    <xf borderId="1" fillId="0" fontId="7" numFmtId="0" xfId="0" applyAlignment="1" applyBorder="1" applyFont="1">
      <alignment horizontal="center" shrinkToFit="0" wrapText="1"/>
    </xf>
    <xf borderId="1" fillId="3" fontId="16" numFmtId="0" xfId="0" applyAlignment="1" applyBorder="1" applyFill="1" applyFont="1">
      <alignment horizontal="center" shrinkToFit="0" wrapText="1"/>
    </xf>
    <xf borderId="2" fillId="3" fontId="16" numFmtId="0" xfId="0" applyAlignment="1" applyBorder="1" applyFill="1" applyFont="1">
      <alignment shrinkToFit="0" wrapText="1"/>
    </xf>
    <xf borderId="2" fillId="0" fontId="17" numFmtId="0" xfId="0" applyAlignment="1" applyBorder="1" applyFont="1">
      <alignment horizontal="center" shrinkToFit="0" wrapText="1"/>
    </xf>
    <xf borderId="2" fillId="3" fontId="16" numFmtId="0" xfId="0" applyAlignment="1" applyBorder="1" applyFill="1" applyFont="1">
      <alignment horizontal="center" shrinkToFit="0" wrapText="1"/>
    </xf>
    <xf borderId="2" fillId="3" fontId="18" numFmtId="0" xfId="0" applyAlignment="1" applyBorder="1" applyFill="1" applyFont="1">
      <alignment horizontal="center" shrinkToFit="0" wrapText="1"/>
    </xf>
    <xf borderId="2" fillId="3" fontId="19" numFmtId="0" xfId="0" applyBorder="1" applyFill="1" applyFont="1"/>
    <xf borderId="1" fillId="3" fontId="18" numFmtId="0" xfId="0" applyAlignment="1" applyBorder="1" applyFill="1" applyFont="1">
      <alignment horizontal="center" shrinkToFit="0" wrapText="1"/>
    </xf>
    <xf borderId="1" fillId="3" fontId="18" numFmtId="0" xfId="0" applyAlignment="1" applyBorder="1" applyFill="1" applyFont="1">
      <alignment horizontal="center" shrinkToFit="0" wrapText="1"/>
    </xf>
    <xf borderId="1" fillId="3" fontId="16" numFmtId="0" xfId="0" applyAlignment="1" applyBorder="1" applyFill="1" applyFont="1">
      <alignment horizontal="center" shrinkToFit="0" wrapText="1"/>
    </xf>
    <xf borderId="2" fillId="3" fontId="16" numFmtId="0" xfId="0" applyAlignment="1" applyBorder="1" applyFill="1" applyFont="1">
      <alignment shrinkToFit="0" wrapText="1"/>
    </xf>
    <xf borderId="2" fillId="3" fontId="16" numFmtId="0" xfId="0" applyAlignment="1" applyBorder="1" applyFill="1" applyFont="1">
      <alignment horizontal="center" shrinkToFit="0" wrapText="1"/>
    </xf>
    <xf borderId="2" fillId="3" fontId="19" numFmtId="0" xfId="0" applyBorder="1" applyFill="1" applyFont="1"/>
    <xf borderId="2" fillId="3" fontId="18" numFmtId="0" xfId="0" applyAlignment="1" applyBorder="1" applyFill="1" applyFont="1">
      <alignment horizontal="center" shrinkToFit="0" wrapText="1"/>
    </xf>
    <xf borderId="1" fillId="0" fontId="7" numFmtId="0" xfId="0" applyAlignment="1" applyBorder="1" applyFont="1">
      <alignment horizontal="center" readingOrder="0" shrinkToFit="0" wrapText="1"/>
    </xf>
    <xf borderId="1" fillId="0" fontId="20" numFmtId="0" xfId="0" applyAlignment="1" applyBorder="1" applyFont="1">
      <alignment horizontal="center" readingOrder="0"/>
    </xf>
    <xf borderId="1" fillId="0" fontId="21" numFmtId="0" xfId="0" applyBorder="1" applyFont="1"/>
    <xf borderId="2" fillId="0" fontId="21" numFmtId="0" xfId="0" applyBorder="1" applyFont="1"/>
    <xf borderId="10" fillId="3" fontId="6" numFmtId="164" xfId="0" applyAlignment="1" applyBorder="1" applyFill="1" applyFont="1" applyNumberFormat="1">
      <alignment horizontal="center" shrinkToFit="0" vertical="center" wrapText="1"/>
    </xf>
    <xf borderId="2" fillId="3" fontId="22" numFmtId="0" xfId="0" applyAlignment="1" applyBorder="1" applyFill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3" fontId="22" numFmtId="0" xfId="0" applyAlignment="1" applyFill="1" applyFont="1">
      <alignment horizontal="left" shrinkToFit="0" vertical="center" wrapText="1"/>
    </xf>
    <xf borderId="5" fillId="10" fontId="14" numFmtId="0" xfId="0" applyAlignment="1" applyBorder="1" applyFill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wrapText="1"/>
    </xf>
    <xf borderId="0" fillId="3" fontId="16" numFmtId="0" xfId="0" applyAlignment="1" applyFill="1" applyFont="1">
      <alignment horizontal="center" shrinkToFit="0" wrapText="1"/>
    </xf>
    <xf borderId="0" fillId="3" fontId="16" numFmtId="0" xfId="0" applyAlignment="1" applyFill="1" applyFont="1">
      <alignment shrinkToFit="0" wrapText="1"/>
    </xf>
    <xf borderId="0" fillId="3" fontId="19" numFmtId="0" xfId="0" applyFill="1" applyFont="1"/>
    <xf borderId="2" fillId="3" fontId="18" numFmtId="0" xfId="0" applyAlignment="1" applyBorder="1" applyFill="1" applyFont="1">
      <alignment horizontal="center"/>
    </xf>
    <xf borderId="2" fillId="3" fontId="19" numFmtId="0" xfId="0" applyAlignment="1" applyBorder="1" applyFill="1" applyFont="1">
      <alignment readingOrder="0"/>
    </xf>
    <xf borderId="6" fillId="5" fontId="4" numFmtId="0" xfId="0" applyAlignment="1" applyBorder="1" applyFill="1" applyFont="1">
      <alignment horizontal="center" shrinkToFit="0" wrapText="1"/>
    </xf>
    <xf borderId="6" fillId="3" fontId="23" numFmtId="0" xfId="0" applyAlignment="1" applyBorder="1" applyFill="1" applyFont="1">
      <alignment horizontal="center"/>
    </xf>
    <xf borderId="6" fillId="0" fontId="6" numFmtId="0" xfId="0" applyAlignment="1" applyBorder="1" applyFont="1">
      <alignment horizontal="center" shrinkToFit="0" vertical="center" wrapText="1"/>
    </xf>
    <xf borderId="9" fillId="5" fontId="4" numFmtId="0" xfId="0" applyAlignment="1" applyBorder="1" applyFill="1" applyFont="1">
      <alignment horizontal="center" shrinkToFit="0" wrapText="1"/>
    </xf>
    <xf borderId="10" fillId="3" fontId="23" numFmtId="164" xfId="0" applyAlignment="1" applyBorder="1" applyFill="1" applyFont="1" applyNumberFormat="1">
      <alignment horizontal="center"/>
    </xf>
    <xf borderId="11" fillId="5" fontId="15" numFmtId="0" xfId="0" applyAlignment="1" applyBorder="1" applyFill="1" applyFont="1">
      <alignment horizontal="center" shrinkToFit="0" wrapText="1"/>
    </xf>
    <xf borderId="1" fillId="5" fontId="4" numFmtId="0" xfId="0" applyAlignment="1" applyBorder="1" applyFill="1" applyFont="1">
      <alignment horizontal="center" shrinkToFit="0" wrapText="1"/>
    </xf>
    <xf borderId="2" fillId="5" fontId="11" numFmtId="0" xfId="0" applyAlignment="1" applyBorder="1" applyFill="1" applyFont="1">
      <alignment horizontal="center" shrinkToFit="0" wrapText="1"/>
    </xf>
    <xf borderId="2" fillId="5" fontId="4" numFmtId="0" xfId="0" applyAlignment="1" applyBorder="1" applyFill="1" applyFon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  <xf borderId="2" fillId="0" fontId="17" numFmtId="0" xfId="0" applyAlignment="1" applyBorder="1" applyFont="1">
      <alignment horizontal="center" shrinkToFit="0" wrapText="1"/>
    </xf>
    <xf borderId="6" fillId="0" fontId="23" numFmtId="0" xfId="0" applyAlignment="1" applyBorder="1" applyFont="1">
      <alignment horizontal="center" shrinkToFit="0" wrapText="1"/>
    </xf>
    <xf borderId="1" fillId="3" fontId="17" numFmtId="0" xfId="0" applyAlignment="1" applyBorder="1" applyFill="1" applyFont="1">
      <alignment horizontal="center" shrinkToFit="0" wrapText="1"/>
    </xf>
    <xf borderId="0" fillId="0" fontId="7" numFmtId="0" xfId="0" applyAlignment="1" applyFont="1">
      <alignment horizontal="center" shrinkToFit="0" vertical="bottom" wrapText="1"/>
    </xf>
    <xf borderId="0" fillId="3" fontId="19" numFmtId="0" xfId="0" applyAlignment="1" applyFill="1" applyFont="1">
      <alignment vertical="bottom"/>
    </xf>
    <xf borderId="13" fillId="0" fontId="7" numFmtId="0" xfId="0" applyAlignment="1" applyBorder="1" applyFont="1">
      <alignment horizontal="center" shrinkToFit="0" wrapText="1"/>
    </xf>
    <xf borderId="13" fillId="3" fontId="16" numFmtId="0" xfId="0" applyAlignment="1" applyBorder="1" applyFill="1" applyFont="1">
      <alignment horizontal="center" shrinkToFit="0" wrapText="1"/>
    </xf>
    <xf borderId="14" fillId="3" fontId="16" numFmtId="0" xfId="0" applyAlignment="1" applyBorder="1" applyFill="1" applyFont="1">
      <alignment shrinkToFit="0" wrapText="1"/>
    </xf>
    <xf borderId="15" fillId="0" fontId="5" numFmtId="0" xfId="0" applyBorder="1" applyFont="1"/>
    <xf borderId="16" fillId="0" fontId="5" numFmtId="0" xfId="0" applyBorder="1" applyFont="1"/>
    <xf borderId="14" fillId="3" fontId="16" numFmtId="0" xfId="0" applyAlignment="1" applyBorder="1" applyFill="1" applyFont="1">
      <alignment horizontal="center" shrinkToFit="0" wrapText="1"/>
    </xf>
    <xf borderId="14" fillId="3" fontId="19" numFmtId="0" xfId="0" applyBorder="1" applyFill="1" applyFont="1"/>
    <xf borderId="14" fillId="3" fontId="18" numFmtId="0" xfId="0" applyAlignment="1" applyBorder="1" applyFill="1" applyFont="1">
      <alignment horizontal="center" shrinkToFit="0" wrapText="1"/>
    </xf>
    <xf borderId="10" fillId="3" fontId="24" numFmtId="164" xfId="0" applyAlignment="1" applyBorder="1" applyFill="1" applyFont="1" applyNumberFormat="1">
      <alignment horizontal="center"/>
    </xf>
    <xf borderId="2" fillId="3" fontId="16" numFmtId="0" xfId="0" applyAlignment="1" applyBorder="1" applyFill="1" applyFont="1">
      <alignment horizontal="center" readingOrder="0" shrinkToFit="0" wrapText="1"/>
    </xf>
    <xf borderId="1" fillId="3" fontId="16" numFmtId="0" xfId="0" applyAlignment="1" applyBorder="1" applyFill="1" applyFont="1">
      <alignment horizontal="center" readingOrder="0" shrinkToFit="0" wrapText="1"/>
    </xf>
    <xf borderId="1" fillId="0" fontId="16" numFmtId="0" xfId="0" applyAlignment="1" applyBorder="1" applyFont="1">
      <alignment horizontal="center" shrinkToFit="0" wrapText="1"/>
    </xf>
    <xf borderId="13" fillId="0" fontId="16" numFmtId="0" xfId="0" applyAlignment="1" applyBorder="1" applyFont="1">
      <alignment horizontal="center" shrinkToFit="0" wrapText="1"/>
    </xf>
    <xf borderId="15" fillId="0" fontId="7" numFmtId="0" xfId="0" applyAlignment="1" applyBorder="1" applyFont="1">
      <alignment horizontal="center" shrinkToFit="0" vertical="bottom" wrapText="1"/>
    </xf>
    <xf borderId="15" fillId="3" fontId="19" numFmtId="0" xfId="0" applyAlignment="1" applyBorder="1" applyFill="1" applyFont="1">
      <alignment vertical="bottom"/>
    </xf>
    <xf borderId="2" fillId="10" fontId="25" numFmtId="0" xfId="0" applyAlignment="1" applyBorder="1" applyFill="1" applyFont="1">
      <alignment horizontal="center" vertical="center"/>
    </xf>
    <xf borderId="0" fillId="6" fontId="13" numFmtId="0" xfId="0" applyAlignment="1" applyFill="1" applyFont="1">
      <alignment horizontal="center" vertical="center"/>
    </xf>
    <xf borderId="17" fillId="10" fontId="14" numFmtId="0" xfId="0" applyAlignment="1" applyBorder="1" applyFill="1" applyFont="1">
      <alignment horizontal="center" shrinkToFit="0" vertical="center" wrapText="1"/>
    </xf>
    <xf borderId="7" fillId="6" fontId="4" numFmtId="0" xfId="0" applyAlignment="1" applyBorder="1" applyFill="1" applyFont="1">
      <alignment horizontal="center" shrinkToFit="0" vertical="center" wrapText="1"/>
    </xf>
    <xf borderId="18" fillId="3" fontId="6" numFmtId="0" xfId="0" applyAlignment="1" applyBorder="1" applyFill="1" applyFont="1">
      <alignment horizontal="center" shrinkToFit="0" vertical="center" wrapText="1"/>
    </xf>
    <xf borderId="19" fillId="0" fontId="5" numFmtId="0" xfId="0" applyBorder="1" applyFont="1"/>
    <xf borderId="20" fillId="0" fontId="5" numFmtId="0" xfId="0" applyBorder="1" applyFont="1"/>
    <xf borderId="18" fillId="0" fontId="3" numFmtId="0" xfId="0" applyAlignment="1" applyBorder="1" applyFont="1">
      <alignment horizontal="center" shrinkToFit="0" vertical="center" wrapText="1"/>
    </xf>
    <xf borderId="8" fillId="6" fontId="4" numFmtId="0" xfId="0" applyAlignment="1" applyBorder="1" applyFill="1" applyFont="1">
      <alignment horizontal="center" shrinkToFit="0" vertical="center" wrapText="1"/>
    </xf>
    <xf borderId="10" fillId="3" fontId="6" numFmtId="0" xfId="0" applyAlignment="1" applyBorder="1" applyFill="1" applyFont="1">
      <alignment horizontal="center" readingOrder="0" shrinkToFit="0" vertical="center" wrapText="1"/>
    </xf>
    <xf borderId="21" fillId="6" fontId="15" numFmtId="0" xfId="0" applyAlignment="1" applyBorder="1" applyFill="1" applyFont="1">
      <alignment horizontal="center" shrinkToFit="0" vertical="center" wrapText="1"/>
    </xf>
    <xf borderId="13" fillId="6" fontId="4" numFmtId="0" xfId="0" applyAlignment="1" applyBorder="1" applyFill="1" applyFont="1">
      <alignment horizontal="center" shrinkToFit="0" vertical="center" wrapText="1"/>
    </xf>
    <xf borderId="22" fillId="6" fontId="4" numFmtId="0" xfId="0" applyAlignment="1" applyBorder="1" applyFill="1" applyFont="1">
      <alignment horizontal="center" shrinkToFit="0" vertical="center" wrapText="1"/>
    </xf>
    <xf borderId="23" fillId="0" fontId="5" numFmtId="0" xfId="0" applyBorder="1" applyFont="1"/>
    <xf borderId="14" fillId="6" fontId="4" numFmtId="0" xfId="0" applyAlignment="1" applyBorder="1" applyFill="1" applyFont="1">
      <alignment horizontal="center" shrinkToFit="0" vertical="center" wrapText="1"/>
    </xf>
    <xf borderId="24" fillId="0" fontId="5" numFmtId="0" xfId="0" applyBorder="1" applyFont="1"/>
    <xf borderId="2" fillId="0" fontId="17" numFmtId="0" xfId="0" applyAlignment="1" applyBorder="1" applyFont="1">
      <alignment horizontal="center" readingOrder="0" shrinkToFit="0" wrapText="1"/>
    </xf>
    <xf borderId="10" fillId="3" fontId="6" numFmtId="0" xfId="0" applyAlignment="1" applyBorder="1" applyFill="1" applyFont="1">
      <alignment horizontal="center" shrinkToFit="0" vertical="center" wrapText="1"/>
    </xf>
    <xf borderId="13" fillId="0" fontId="7" numFmtId="0" xfId="0" applyAlignment="1" applyBorder="1" applyFont="1">
      <alignment horizontal="center" shrinkToFit="0" wrapText="1"/>
    </xf>
    <xf borderId="13" fillId="3" fontId="16" numFmtId="0" xfId="0" applyAlignment="1" applyBorder="1" applyFill="1" applyFont="1">
      <alignment horizontal="center" shrinkToFit="0" wrapText="1"/>
    </xf>
    <xf borderId="14" fillId="3" fontId="16" numFmtId="0" xfId="0" applyAlignment="1" applyBorder="1" applyFill="1" applyFont="1">
      <alignment shrinkToFit="0" wrapText="1"/>
    </xf>
    <xf borderId="14" fillId="3" fontId="16" numFmtId="0" xfId="0" applyAlignment="1" applyBorder="1" applyFill="1" applyFont="1">
      <alignment horizontal="center" shrinkToFit="0" wrapText="1"/>
    </xf>
    <xf borderId="14" fillId="3" fontId="19" numFmtId="0" xfId="0" applyBorder="1" applyFill="1" applyFont="1"/>
    <xf borderId="15" fillId="0" fontId="3" numFmtId="0" xfId="0" applyAlignment="1" applyBorder="1" applyFont="1">
      <alignment horizontal="center" shrinkToFit="0" vertical="center" wrapText="1"/>
    </xf>
    <xf borderId="15" fillId="3" fontId="22" numFmtId="0" xfId="0" applyAlignment="1" applyBorder="1" applyFill="1" applyFont="1">
      <alignment horizontal="left" shrinkToFit="0" vertical="center" wrapText="1"/>
    </xf>
    <xf borderId="0" fillId="0" fontId="17" numFmtId="0" xfId="0" applyFont="1"/>
    <xf borderId="17" fillId="10" fontId="14" numFmtId="0" xfId="0" applyAlignment="1" applyBorder="1" applyFill="1" applyFont="1">
      <alignment horizontal="center" readingOrder="0" shrinkToFit="0" vertical="center" wrapText="1"/>
    </xf>
    <xf borderId="11" fillId="0" fontId="3" numFmtId="0" xfId="0" applyAlignment="1" applyBorder="1" applyFont="1">
      <alignment horizontal="center" shrinkToFit="0" vertical="center" wrapText="1"/>
    </xf>
    <xf borderId="25" fillId="0" fontId="3" numFmtId="0" xfId="0" applyAlignment="1" applyBorder="1" applyFont="1">
      <alignment horizontal="center" shrinkToFit="0" vertical="center" wrapText="1"/>
    </xf>
    <xf borderId="0" fillId="3" fontId="6" numFmtId="0" xfId="0" applyAlignment="1" applyFill="1" applyFont="1">
      <alignment horizontal="left" shrinkToFit="0" vertical="center" wrapText="1"/>
    </xf>
    <xf borderId="15" fillId="3" fontId="6" numFmtId="0" xfId="0" applyAlignment="1" applyBorder="1" applyFill="1" applyFont="1">
      <alignment horizontal="left" shrinkToFit="0" vertical="center" wrapText="1"/>
    </xf>
    <xf borderId="1" fillId="3" fontId="17" numFmtId="0" xfId="0" applyAlignment="1" applyBorder="1" applyFill="1" applyFont="1">
      <alignment horizontal="center" shrinkToFit="0" wrapText="1"/>
    </xf>
    <xf borderId="13" fillId="3" fontId="17" numFmtId="0" xfId="0" applyAlignment="1" applyBorder="1" applyFill="1" applyFont="1">
      <alignment horizontal="center" shrinkToFit="0" wrapText="1"/>
    </xf>
    <xf borderId="14" fillId="3" fontId="18" numFmtId="0" xfId="0" applyAlignment="1" applyBorder="1" applyFill="1" applyFont="1">
      <alignment horizontal="center" shrinkToFit="0" wrapText="1"/>
    </xf>
    <xf borderId="14" fillId="3" fontId="16" numFmtId="0" xfId="0" applyAlignment="1" applyBorder="1" applyFill="1" applyFont="1">
      <alignment horizontal="center" readingOrder="0" shrinkToFit="0" wrapText="1"/>
    </xf>
    <xf borderId="1" fillId="0" fontId="16" numFmtId="0" xfId="0" applyAlignment="1" applyBorder="1" applyFont="1">
      <alignment horizontal="center" shrinkToFit="0" wrapText="1"/>
    </xf>
    <xf borderId="13" fillId="0" fontId="16" numFmtId="0" xfId="0" applyAlignment="1" applyBorder="1" applyFont="1">
      <alignment horizontal="center" shrinkToFit="0" wrapText="1"/>
    </xf>
    <xf borderId="0" fillId="7" fontId="13" numFmtId="0" xfId="0" applyAlignment="1" applyFill="1" applyFont="1">
      <alignment horizontal="center" vertical="center"/>
    </xf>
    <xf borderId="7" fillId="7" fontId="4" numFmtId="0" xfId="0" applyAlignment="1" applyBorder="1" applyFill="1" applyFont="1">
      <alignment horizontal="center" shrinkToFit="0" vertical="center" wrapText="1"/>
    </xf>
    <xf borderId="6" fillId="7" fontId="4" numFmtId="0" xfId="0" applyAlignment="1" applyBorder="1" applyFill="1" applyFont="1">
      <alignment horizontal="center" shrinkToFit="0" vertical="center" wrapText="1"/>
    </xf>
    <xf borderId="9" fillId="7" fontId="4" numFmtId="0" xfId="0" applyAlignment="1" applyBorder="1" applyFill="1" applyFont="1">
      <alignment horizontal="center" shrinkToFit="0" vertical="center" wrapText="1"/>
    </xf>
    <xf borderId="26" fillId="7" fontId="15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2" fillId="7" fontId="4" numFmtId="0" xfId="0" applyAlignment="1" applyBorder="1" applyFill="1" applyFont="1">
      <alignment horizontal="center" shrinkToFit="0" vertical="center" wrapText="1"/>
    </xf>
    <xf borderId="8" fillId="7" fontId="4" numFmtId="0" xfId="0" applyAlignment="1" applyBorder="1" applyFill="1" applyFont="1">
      <alignment horizontal="center" shrinkToFit="0" vertical="center" wrapText="1"/>
    </xf>
    <xf borderId="26" fillId="7" fontId="4" numFmtId="0" xfId="0" applyAlignment="1" applyBorder="1" applyFill="1" applyFont="1">
      <alignment horizontal="center" shrinkToFit="0" vertical="center" wrapText="1"/>
    </xf>
    <xf borderId="27" fillId="7" fontId="4" numFmtId="0" xfId="0" applyAlignment="1" applyBorder="1" applyFill="1" applyFont="1">
      <alignment horizontal="center" shrinkToFit="0" vertical="center" wrapText="1"/>
    </xf>
    <xf borderId="28" fillId="0" fontId="5" numFmtId="0" xfId="0" applyBorder="1" applyFont="1"/>
    <xf borderId="29" fillId="0" fontId="5" numFmtId="0" xfId="0" applyBorder="1" applyFont="1"/>
    <xf borderId="2" fillId="0" fontId="26" numFmtId="0" xfId="0" applyAlignment="1" applyBorder="1" applyFont="1">
      <alignment horizontal="center" readingOrder="0"/>
    </xf>
    <xf borderId="30" fillId="0" fontId="3" numFmtId="0" xfId="0" applyAlignment="1" applyBorder="1" applyFont="1">
      <alignment horizontal="center" shrinkToFit="0" vertical="center" wrapText="1"/>
    </xf>
    <xf borderId="31" fillId="3" fontId="22" numFmtId="0" xfId="0" applyAlignment="1" applyBorder="1" applyFill="1" applyFont="1">
      <alignment horizontal="left" shrinkToFit="0" vertical="center" wrapText="1"/>
    </xf>
    <xf borderId="32" fillId="3" fontId="22" numFmtId="0" xfId="0" applyAlignment="1" applyBorder="1" applyFill="1" applyFont="1">
      <alignment horizontal="left" shrinkToFit="0" vertical="center" wrapText="1"/>
    </xf>
    <xf borderId="33" fillId="0" fontId="5" numFmtId="0" xfId="0" applyBorder="1" applyFont="1"/>
    <xf borderId="34" fillId="0" fontId="5" numFmtId="0" xfId="0" applyBorder="1" applyFont="1"/>
    <xf borderId="35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9.5"/>
    <col customWidth="1" min="3" max="3" width="45.63"/>
    <col customWidth="1" min="4" max="4" width="34.5"/>
    <col customWidth="1" min="5" max="5" width="49.63"/>
    <col customWidth="1" min="6" max="6" width="21.25"/>
    <col customWidth="1" min="7" max="7" width="26.63"/>
    <col customWidth="1" min="8" max="8" width="64.63"/>
    <col customWidth="1" min="9" max="9" width="19.13"/>
    <col customWidth="1" min="10" max="10" width="30.88"/>
    <col customWidth="1" min="11" max="11" width="47.63"/>
    <col customWidth="1" min="12" max="12" width="22.13"/>
  </cols>
  <sheetData>
    <row r="1" ht="38.25" customHeight="1">
      <c r="A1" s="1" t="s">
        <v>0</v>
      </c>
      <c r="M1" s="2"/>
      <c r="N1" s="2"/>
      <c r="O1" s="2"/>
      <c r="P1" s="2"/>
      <c r="Q1" s="2"/>
    </row>
    <row r="2" ht="36.0" customHeight="1">
      <c r="A2" s="3" t="s">
        <v>1</v>
      </c>
      <c r="B2" s="3" t="s">
        <v>2</v>
      </c>
      <c r="C2" s="3" t="s">
        <v>3</v>
      </c>
      <c r="D2" s="4" t="s">
        <v>4</v>
      </c>
      <c r="E2" s="5"/>
      <c r="F2" s="6"/>
      <c r="G2" s="7" t="s">
        <v>5</v>
      </c>
      <c r="H2" s="5"/>
      <c r="I2" s="6"/>
      <c r="J2" s="8" t="s">
        <v>6</v>
      </c>
      <c r="K2" s="5"/>
      <c r="L2" s="6"/>
    </row>
    <row r="3" ht="30.0" customHeight="1">
      <c r="A3" s="9"/>
      <c r="B3" s="5"/>
      <c r="C3" s="6"/>
      <c r="D3" s="10" t="s">
        <v>7</v>
      </c>
      <c r="E3" s="11" t="s">
        <v>8</v>
      </c>
      <c r="F3" s="11" t="s">
        <v>9</v>
      </c>
      <c r="G3" s="10" t="s">
        <v>7</v>
      </c>
      <c r="H3" s="11" t="s">
        <v>8</v>
      </c>
      <c r="I3" s="11" t="s">
        <v>9</v>
      </c>
      <c r="J3" s="10" t="s">
        <v>7</v>
      </c>
      <c r="K3" s="11" t="s">
        <v>8</v>
      </c>
      <c r="L3" s="11" t="s">
        <v>9</v>
      </c>
    </row>
    <row r="4" ht="30.0" customHeight="1">
      <c r="A4" s="12">
        <v>1.0</v>
      </c>
      <c r="B4" s="13" t="s">
        <v>10</v>
      </c>
      <c r="C4" s="14" t="s">
        <v>11</v>
      </c>
      <c r="D4" s="15" t="s">
        <v>12</v>
      </c>
      <c r="E4" s="15" t="s">
        <v>13</v>
      </c>
      <c r="F4" s="15" t="s">
        <v>14</v>
      </c>
      <c r="G4" s="15" t="s">
        <v>15</v>
      </c>
      <c r="H4" s="15" t="s">
        <v>13</v>
      </c>
      <c r="I4" s="15" t="s">
        <v>16</v>
      </c>
      <c r="J4" s="15" t="s">
        <v>17</v>
      </c>
      <c r="K4" s="16" t="s">
        <v>13</v>
      </c>
      <c r="L4" s="15" t="s">
        <v>16</v>
      </c>
    </row>
    <row r="5" ht="30.0" customHeight="1">
      <c r="A5" s="12">
        <f t="shared" ref="A5:A21" si="1">A4+1</f>
        <v>2</v>
      </c>
      <c r="B5" s="13" t="s">
        <v>18</v>
      </c>
      <c r="C5" s="14" t="s">
        <v>19</v>
      </c>
      <c r="D5" s="15" t="s">
        <v>18</v>
      </c>
      <c r="E5" s="15" t="s">
        <v>20</v>
      </c>
      <c r="F5" s="15" t="s">
        <v>21</v>
      </c>
      <c r="G5" s="15" t="s">
        <v>22</v>
      </c>
      <c r="H5" s="15" t="s">
        <v>23</v>
      </c>
      <c r="I5" s="15" t="s">
        <v>24</v>
      </c>
      <c r="J5" s="15" t="s">
        <v>25</v>
      </c>
      <c r="K5" s="15" t="s">
        <v>20</v>
      </c>
      <c r="L5" s="15" t="s">
        <v>21</v>
      </c>
    </row>
    <row r="6" ht="30.0" customHeight="1">
      <c r="A6" s="12">
        <f t="shared" si="1"/>
        <v>3</v>
      </c>
      <c r="B6" s="13" t="s">
        <v>26</v>
      </c>
      <c r="C6" s="14" t="s">
        <v>27</v>
      </c>
      <c r="D6" s="15" t="s">
        <v>28</v>
      </c>
      <c r="E6" s="15" t="s">
        <v>29</v>
      </c>
      <c r="F6" s="15" t="s">
        <v>14</v>
      </c>
      <c r="G6" s="15" t="s">
        <v>30</v>
      </c>
      <c r="H6" s="15" t="s">
        <v>31</v>
      </c>
      <c r="I6" s="15" t="s">
        <v>14</v>
      </c>
      <c r="J6" s="15" t="s">
        <v>30</v>
      </c>
      <c r="K6" s="15" t="s">
        <v>29</v>
      </c>
      <c r="L6" s="15" t="s">
        <v>14</v>
      </c>
    </row>
    <row r="7" ht="30.0" customHeight="1">
      <c r="A7" s="12">
        <f t="shared" si="1"/>
        <v>4</v>
      </c>
      <c r="B7" s="13" t="s">
        <v>32</v>
      </c>
      <c r="C7" s="14" t="s">
        <v>33</v>
      </c>
      <c r="D7" s="15" t="s">
        <v>34</v>
      </c>
      <c r="E7" s="15" t="s">
        <v>35</v>
      </c>
      <c r="F7" s="15" t="s">
        <v>36</v>
      </c>
      <c r="G7" s="15" t="s">
        <v>32</v>
      </c>
      <c r="H7" s="15" t="s">
        <v>37</v>
      </c>
      <c r="I7" s="15" t="s">
        <v>36</v>
      </c>
      <c r="J7" s="15" t="s">
        <v>32</v>
      </c>
      <c r="K7" s="15" t="s">
        <v>38</v>
      </c>
      <c r="L7" s="15" t="s">
        <v>36</v>
      </c>
    </row>
    <row r="8" ht="30.0" customHeight="1">
      <c r="A8" s="12">
        <f t="shared" si="1"/>
        <v>5</v>
      </c>
      <c r="B8" s="13" t="s">
        <v>39</v>
      </c>
      <c r="C8" s="14" t="s">
        <v>40</v>
      </c>
      <c r="D8" s="15" t="s">
        <v>41</v>
      </c>
      <c r="E8" s="15" t="s">
        <v>42</v>
      </c>
      <c r="F8" s="15" t="s">
        <v>43</v>
      </c>
      <c r="G8" s="15" t="s">
        <v>41</v>
      </c>
      <c r="H8" s="15" t="s">
        <v>44</v>
      </c>
      <c r="I8" s="15" t="s">
        <v>43</v>
      </c>
      <c r="J8" s="15" t="s">
        <v>45</v>
      </c>
      <c r="K8" s="15" t="s">
        <v>46</v>
      </c>
      <c r="L8" s="15" t="s">
        <v>43</v>
      </c>
    </row>
    <row r="9" ht="30.0" customHeight="1">
      <c r="A9" s="12">
        <f t="shared" si="1"/>
        <v>6</v>
      </c>
      <c r="B9" s="13" t="s">
        <v>47</v>
      </c>
      <c r="C9" s="14" t="s">
        <v>48</v>
      </c>
      <c r="D9" s="15" t="s">
        <v>49</v>
      </c>
      <c r="E9" s="15" t="s">
        <v>50</v>
      </c>
      <c r="F9" s="15" t="s">
        <v>36</v>
      </c>
      <c r="G9" s="15" t="s">
        <v>49</v>
      </c>
      <c r="H9" s="15" t="s">
        <v>51</v>
      </c>
      <c r="I9" s="15" t="s">
        <v>36</v>
      </c>
      <c r="J9" s="15" t="s">
        <v>52</v>
      </c>
      <c r="K9" s="15" t="s">
        <v>53</v>
      </c>
      <c r="L9" s="15" t="s">
        <v>36</v>
      </c>
    </row>
    <row r="10" ht="30.0" customHeight="1">
      <c r="A10" s="12">
        <f t="shared" si="1"/>
        <v>7</v>
      </c>
      <c r="B10" s="13" t="s">
        <v>54</v>
      </c>
      <c r="C10" s="14" t="s">
        <v>55</v>
      </c>
      <c r="D10" s="15" t="s">
        <v>56</v>
      </c>
      <c r="E10" s="15" t="s">
        <v>57</v>
      </c>
      <c r="F10" s="15" t="s">
        <v>43</v>
      </c>
      <c r="G10" s="15" t="s">
        <v>56</v>
      </c>
      <c r="H10" s="15" t="s">
        <v>58</v>
      </c>
      <c r="I10" s="15" t="s">
        <v>36</v>
      </c>
      <c r="J10" s="15" t="s">
        <v>56</v>
      </c>
      <c r="K10" s="15" t="s">
        <v>59</v>
      </c>
      <c r="L10" s="15" t="s">
        <v>36</v>
      </c>
    </row>
    <row r="11" ht="30.0" customHeight="1">
      <c r="A11" s="12">
        <f t="shared" si="1"/>
        <v>8</v>
      </c>
      <c r="B11" s="13" t="s">
        <v>60</v>
      </c>
      <c r="C11" s="14" t="s">
        <v>61</v>
      </c>
      <c r="D11" s="15" t="s">
        <v>62</v>
      </c>
      <c r="E11" s="15" t="s">
        <v>63</v>
      </c>
      <c r="F11" s="15" t="s">
        <v>14</v>
      </c>
      <c r="G11" s="15" t="s">
        <v>62</v>
      </c>
      <c r="H11" s="15" t="s">
        <v>64</v>
      </c>
      <c r="I11" s="15" t="s">
        <v>65</v>
      </c>
      <c r="J11" s="15" t="s">
        <v>62</v>
      </c>
      <c r="K11" s="15" t="s">
        <v>66</v>
      </c>
      <c r="L11" s="15" t="s">
        <v>65</v>
      </c>
    </row>
    <row r="12" ht="30.0" customHeight="1">
      <c r="A12" s="12">
        <f t="shared" si="1"/>
        <v>9</v>
      </c>
      <c r="B12" s="13" t="s">
        <v>67</v>
      </c>
      <c r="C12" s="14" t="s">
        <v>68</v>
      </c>
      <c r="D12" s="15" t="s">
        <v>69</v>
      </c>
      <c r="E12" s="15" t="s">
        <v>70</v>
      </c>
      <c r="F12" s="15" t="s">
        <v>71</v>
      </c>
      <c r="G12" s="15" t="s">
        <v>72</v>
      </c>
      <c r="H12" s="15" t="s">
        <v>73</v>
      </c>
      <c r="I12" s="15" t="s">
        <v>71</v>
      </c>
      <c r="J12" s="15" t="s">
        <v>74</v>
      </c>
      <c r="K12" s="15" t="s">
        <v>75</v>
      </c>
      <c r="L12" s="15" t="s">
        <v>76</v>
      </c>
    </row>
    <row r="13" ht="30.0" customHeight="1">
      <c r="A13" s="12">
        <f t="shared" si="1"/>
        <v>10</v>
      </c>
      <c r="B13" s="13" t="s">
        <v>77</v>
      </c>
      <c r="C13" s="14" t="s">
        <v>78</v>
      </c>
      <c r="D13" s="15" t="s">
        <v>79</v>
      </c>
      <c r="E13" s="15" t="s">
        <v>80</v>
      </c>
      <c r="F13" s="15" t="s">
        <v>81</v>
      </c>
      <c r="G13" s="15" t="s">
        <v>79</v>
      </c>
      <c r="H13" s="15" t="s">
        <v>82</v>
      </c>
      <c r="I13" s="15" t="s">
        <v>83</v>
      </c>
      <c r="J13" s="15" t="s">
        <v>79</v>
      </c>
      <c r="K13" s="15" t="s">
        <v>84</v>
      </c>
      <c r="L13" s="15" t="s">
        <v>85</v>
      </c>
    </row>
    <row r="14" ht="30.0" customHeight="1">
      <c r="A14" s="12">
        <f t="shared" si="1"/>
        <v>11</v>
      </c>
      <c r="B14" s="13" t="s">
        <v>86</v>
      </c>
      <c r="C14" s="14" t="s">
        <v>87</v>
      </c>
      <c r="D14" s="15" t="s">
        <v>88</v>
      </c>
      <c r="E14" s="15" t="s">
        <v>89</v>
      </c>
      <c r="F14" s="15" t="s">
        <v>36</v>
      </c>
      <c r="G14" s="15" t="s">
        <v>88</v>
      </c>
      <c r="H14" s="15" t="s">
        <v>90</v>
      </c>
      <c r="I14" s="15" t="s">
        <v>36</v>
      </c>
      <c r="J14" s="15" t="s">
        <v>88</v>
      </c>
      <c r="K14" s="15" t="s">
        <v>91</v>
      </c>
      <c r="L14" s="15" t="s">
        <v>36</v>
      </c>
    </row>
    <row r="15" ht="30.0" customHeight="1">
      <c r="A15" s="12">
        <f t="shared" si="1"/>
        <v>12</v>
      </c>
      <c r="B15" s="13" t="s">
        <v>92</v>
      </c>
      <c r="C15" s="14" t="s">
        <v>93</v>
      </c>
      <c r="D15" s="15" t="s">
        <v>92</v>
      </c>
      <c r="E15" s="15" t="s">
        <v>94</v>
      </c>
      <c r="F15" s="15" t="s">
        <v>14</v>
      </c>
      <c r="G15" s="15" t="s">
        <v>92</v>
      </c>
      <c r="H15" s="15" t="s">
        <v>95</v>
      </c>
      <c r="I15" s="15" t="s">
        <v>96</v>
      </c>
      <c r="J15" s="15" t="s">
        <v>97</v>
      </c>
      <c r="K15" s="15" t="s">
        <v>98</v>
      </c>
      <c r="L15" s="15" t="s">
        <v>36</v>
      </c>
    </row>
    <row r="16" ht="30.0" customHeight="1">
      <c r="A16" s="12">
        <f t="shared" si="1"/>
        <v>13</v>
      </c>
      <c r="B16" s="13" t="s">
        <v>99</v>
      </c>
      <c r="C16" s="14" t="s">
        <v>100</v>
      </c>
      <c r="D16" s="15" t="s">
        <v>88</v>
      </c>
      <c r="E16" s="15" t="s">
        <v>101</v>
      </c>
      <c r="F16" s="15" t="s">
        <v>36</v>
      </c>
      <c r="G16" s="15" t="s">
        <v>88</v>
      </c>
      <c r="H16" s="15" t="s">
        <v>102</v>
      </c>
      <c r="I16" s="15" t="s">
        <v>36</v>
      </c>
      <c r="J16" s="15" t="s">
        <v>88</v>
      </c>
      <c r="K16" s="15" t="s">
        <v>103</v>
      </c>
      <c r="L16" s="15" t="s">
        <v>36</v>
      </c>
    </row>
    <row r="17" ht="30.0" customHeight="1">
      <c r="A17" s="12">
        <f t="shared" si="1"/>
        <v>14</v>
      </c>
      <c r="B17" s="13" t="s">
        <v>104</v>
      </c>
      <c r="C17" s="14" t="s">
        <v>105</v>
      </c>
      <c r="D17" s="15" t="s">
        <v>106</v>
      </c>
      <c r="E17" s="15" t="s">
        <v>107</v>
      </c>
      <c r="F17" s="15" t="s">
        <v>36</v>
      </c>
      <c r="G17" s="15" t="s">
        <v>108</v>
      </c>
      <c r="H17" s="15" t="s">
        <v>109</v>
      </c>
      <c r="I17" s="15" t="s">
        <v>36</v>
      </c>
      <c r="J17" s="15" t="s">
        <v>110</v>
      </c>
      <c r="K17" s="15" t="s">
        <v>111</v>
      </c>
      <c r="L17" s="15" t="s">
        <v>36</v>
      </c>
    </row>
    <row r="18" ht="27.75" customHeight="1">
      <c r="A18" s="12">
        <f t="shared" si="1"/>
        <v>15</v>
      </c>
      <c r="B18" s="13" t="s">
        <v>112</v>
      </c>
      <c r="C18" s="14" t="s">
        <v>113</v>
      </c>
      <c r="D18" s="15" t="s">
        <v>112</v>
      </c>
      <c r="E18" s="15" t="s">
        <v>114</v>
      </c>
      <c r="F18" s="15" t="s">
        <v>36</v>
      </c>
      <c r="G18" s="15" t="s">
        <v>112</v>
      </c>
      <c r="H18" s="15" t="s">
        <v>114</v>
      </c>
      <c r="I18" s="15" t="s">
        <v>36</v>
      </c>
      <c r="J18" s="15" t="s">
        <v>115</v>
      </c>
      <c r="K18" s="15" t="s">
        <v>116</v>
      </c>
      <c r="L18" s="15" t="s">
        <v>36</v>
      </c>
    </row>
    <row r="19" ht="27.75" customHeight="1">
      <c r="A19" s="12">
        <f t="shared" si="1"/>
        <v>16</v>
      </c>
      <c r="B19" s="13" t="s">
        <v>117</v>
      </c>
      <c r="C19" s="14" t="s">
        <v>118</v>
      </c>
      <c r="D19" s="15" t="s">
        <v>117</v>
      </c>
      <c r="E19" s="15" t="s">
        <v>119</v>
      </c>
      <c r="F19" s="15" t="s">
        <v>36</v>
      </c>
      <c r="G19" s="15" t="s">
        <v>112</v>
      </c>
      <c r="H19" s="15" t="s">
        <v>120</v>
      </c>
      <c r="I19" s="15" t="s">
        <v>36</v>
      </c>
      <c r="J19" s="15" t="s">
        <v>115</v>
      </c>
      <c r="K19" s="15" t="s">
        <v>121</v>
      </c>
      <c r="L19" s="15" t="s">
        <v>36</v>
      </c>
    </row>
    <row r="20" ht="27.75" customHeight="1">
      <c r="A20" s="12">
        <f t="shared" si="1"/>
        <v>17</v>
      </c>
      <c r="B20" s="13" t="s">
        <v>122</v>
      </c>
      <c r="C20" s="14" t="s">
        <v>123</v>
      </c>
      <c r="D20" s="15" t="s">
        <v>106</v>
      </c>
      <c r="E20" s="15" t="s">
        <v>124</v>
      </c>
      <c r="F20" s="15" t="s">
        <v>36</v>
      </c>
      <c r="G20" s="15" t="s">
        <v>108</v>
      </c>
      <c r="H20" s="15" t="s">
        <v>125</v>
      </c>
      <c r="I20" s="15" t="s">
        <v>36</v>
      </c>
      <c r="J20" s="15" t="s">
        <v>110</v>
      </c>
      <c r="K20" s="15" t="s">
        <v>126</v>
      </c>
      <c r="L20" s="15" t="s">
        <v>36</v>
      </c>
    </row>
    <row r="21" ht="27.75" customHeight="1">
      <c r="A21" s="12">
        <f t="shared" si="1"/>
        <v>18</v>
      </c>
      <c r="B21" s="13" t="s">
        <v>127</v>
      </c>
      <c r="C21" s="14" t="s">
        <v>128</v>
      </c>
      <c r="D21" s="15" t="s">
        <v>106</v>
      </c>
      <c r="E21" s="15" t="s">
        <v>129</v>
      </c>
      <c r="F21" s="15" t="s">
        <v>36</v>
      </c>
      <c r="G21" s="15" t="s">
        <v>108</v>
      </c>
      <c r="H21" s="15" t="s">
        <v>130</v>
      </c>
      <c r="I21" s="15" t="s">
        <v>36</v>
      </c>
      <c r="J21" s="15" t="s">
        <v>110</v>
      </c>
      <c r="K21" s="15" t="s">
        <v>131</v>
      </c>
      <c r="L21" s="15" t="s">
        <v>36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5">
    <mergeCell ref="A1:L1"/>
    <mergeCell ref="D2:F2"/>
    <mergeCell ref="G2:I2"/>
    <mergeCell ref="J2:L2"/>
    <mergeCell ref="A3:C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37.38"/>
    <col customWidth="1" min="3" max="3" width="117.63"/>
    <col customWidth="1" min="4" max="4" width="58.63"/>
  </cols>
  <sheetData>
    <row r="1" ht="28.5" customHeight="1">
      <c r="A1" s="17" t="s">
        <v>132</v>
      </c>
      <c r="E1" s="2"/>
      <c r="F1" s="2"/>
      <c r="G1" s="2"/>
      <c r="H1" s="2"/>
      <c r="I1" s="2"/>
    </row>
    <row r="2" ht="69.0" customHeight="1">
      <c r="A2" s="18" t="s">
        <v>133</v>
      </c>
      <c r="E2" s="2"/>
      <c r="F2" s="2"/>
      <c r="G2" s="2"/>
      <c r="H2" s="2"/>
      <c r="I2" s="2"/>
    </row>
    <row r="3" ht="36.0" customHeight="1">
      <c r="A3" s="19" t="s">
        <v>1</v>
      </c>
      <c r="B3" s="19" t="s">
        <v>134</v>
      </c>
      <c r="C3" s="3" t="s">
        <v>135</v>
      </c>
      <c r="D3" s="3" t="s">
        <v>136</v>
      </c>
    </row>
    <row r="4" ht="37.5" customHeight="1">
      <c r="A4" s="12">
        <v>1.0</v>
      </c>
      <c r="B4" s="20" t="s">
        <v>137</v>
      </c>
      <c r="C4" s="21" t="s">
        <v>138</v>
      </c>
      <c r="D4" s="22"/>
    </row>
    <row r="5" ht="37.5" customHeight="1">
      <c r="A5" s="12">
        <f t="shared" ref="A5:A27" si="1">A4+1</f>
        <v>2</v>
      </c>
      <c r="B5" s="20" t="s">
        <v>139</v>
      </c>
      <c r="C5" s="21" t="s">
        <v>140</v>
      </c>
      <c r="D5" s="22"/>
    </row>
    <row r="6" ht="37.5" customHeight="1">
      <c r="A6" s="12">
        <f t="shared" si="1"/>
        <v>3</v>
      </c>
      <c r="B6" s="20" t="s">
        <v>141</v>
      </c>
      <c r="C6" s="21" t="s">
        <v>142</v>
      </c>
      <c r="D6" s="22"/>
    </row>
    <row r="7" ht="37.5" customHeight="1">
      <c r="A7" s="12">
        <f t="shared" si="1"/>
        <v>4</v>
      </c>
      <c r="B7" s="20" t="s">
        <v>143</v>
      </c>
      <c r="C7" s="21" t="s">
        <v>144</v>
      </c>
      <c r="D7" s="22"/>
    </row>
    <row r="8" ht="37.5" customHeight="1">
      <c r="A8" s="12">
        <f t="shared" si="1"/>
        <v>5</v>
      </c>
      <c r="B8" s="20" t="s">
        <v>145</v>
      </c>
      <c r="C8" s="21" t="s">
        <v>146</v>
      </c>
      <c r="D8" s="22"/>
    </row>
    <row r="9" ht="37.5" customHeight="1">
      <c r="A9" s="12">
        <f t="shared" si="1"/>
        <v>6</v>
      </c>
      <c r="B9" s="20" t="s">
        <v>147</v>
      </c>
      <c r="C9" s="21" t="s">
        <v>148</v>
      </c>
      <c r="D9" s="22"/>
    </row>
    <row r="10" ht="37.5" customHeight="1">
      <c r="A10" s="12">
        <f t="shared" si="1"/>
        <v>7</v>
      </c>
      <c r="B10" s="20" t="s">
        <v>149</v>
      </c>
      <c r="C10" s="21" t="s">
        <v>150</v>
      </c>
      <c r="D10" s="22"/>
    </row>
    <row r="11" ht="37.5" customHeight="1">
      <c r="A11" s="12">
        <f t="shared" si="1"/>
        <v>8</v>
      </c>
      <c r="B11" s="20" t="s">
        <v>151</v>
      </c>
      <c r="C11" s="21" t="s">
        <v>152</v>
      </c>
      <c r="D11" s="22"/>
    </row>
    <row r="12" ht="37.5" customHeight="1">
      <c r="A12" s="12">
        <f t="shared" si="1"/>
        <v>9</v>
      </c>
      <c r="B12" s="20" t="s">
        <v>153</v>
      </c>
      <c r="C12" s="21" t="s">
        <v>154</v>
      </c>
      <c r="D12" s="22"/>
    </row>
    <row r="13" ht="37.5" customHeight="1">
      <c r="A13" s="12">
        <f t="shared" si="1"/>
        <v>10</v>
      </c>
      <c r="B13" s="20" t="s">
        <v>155</v>
      </c>
      <c r="C13" s="21" t="s">
        <v>156</v>
      </c>
      <c r="D13" s="22"/>
    </row>
    <row r="14" ht="37.5" customHeight="1">
      <c r="A14" s="12">
        <f t="shared" si="1"/>
        <v>11</v>
      </c>
      <c r="B14" s="20" t="s">
        <v>157</v>
      </c>
      <c r="C14" s="21" t="s">
        <v>158</v>
      </c>
      <c r="D14" s="22"/>
    </row>
    <row r="15" ht="37.5" customHeight="1">
      <c r="A15" s="12">
        <f t="shared" si="1"/>
        <v>12</v>
      </c>
      <c r="B15" s="23" t="s">
        <v>159</v>
      </c>
      <c r="C15" s="24" t="s">
        <v>160</v>
      </c>
      <c r="D15" s="25"/>
    </row>
    <row r="16" ht="37.5" customHeight="1">
      <c r="A16" s="12">
        <f t="shared" si="1"/>
        <v>13</v>
      </c>
      <c r="B16" s="23" t="s">
        <v>161</v>
      </c>
      <c r="C16" s="24" t="s">
        <v>162</v>
      </c>
      <c r="D16" s="25"/>
    </row>
    <row r="17" ht="37.5" customHeight="1">
      <c r="A17" s="12">
        <f t="shared" si="1"/>
        <v>14</v>
      </c>
      <c r="B17" s="23" t="s">
        <v>163</v>
      </c>
      <c r="C17" s="24" t="s">
        <v>164</v>
      </c>
      <c r="D17" s="25"/>
    </row>
    <row r="18" ht="37.5" customHeight="1">
      <c r="A18" s="12">
        <f t="shared" si="1"/>
        <v>15</v>
      </c>
      <c r="B18" s="23" t="s">
        <v>165</v>
      </c>
      <c r="C18" s="24" t="s">
        <v>166</v>
      </c>
      <c r="D18" s="25"/>
    </row>
    <row r="19" ht="37.5" customHeight="1">
      <c r="A19" s="12">
        <f t="shared" si="1"/>
        <v>16</v>
      </c>
      <c r="B19" s="23" t="s">
        <v>167</v>
      </c>
      <c r="C19" s="24" t="s">
        <v>168</v>
      </c>
      <c r="D19" s="25"/>
    </row>
    <row r="20" ht="37.5" customHeight="1">
      <c r="A20" s="12">
        <f t="shared" si="1"/>
        <v>17</v>
      </c>
      <c r="B20" s="23" t="s">
        <v>169</v>
      </c>
      <c r="C20" s="24" t="s">
        <v>170</v>
      </c>
      <c r="D20" s="25"/>
    </row>
    <row r="21" ht="37.5" customHeight="1">
      <c r="A21" s="12">
        <f t="shared" si="1"/>
        <v>18</v>
      </c>
      <c r="B21" s="23" t="s">
        <v>171</v>
      </c>
      <c r="C21" s="24" t="s">
        <v>172</v>
      </c>
      <c r="D21" s="25"/>
    </row>
    <row r="22" ht="37.5" customHeight="1">
      <c r="A22" s="12">
        <f t="shared" si="1"/>
        <v>19</v>
      </c>
      <c r="B22" s="23" t="s">
        <v>173</v>
      </c>
      <c r="C22" s="24" t="s">
        <v>174</v>
      </c>
      <c r="D22" s="25"/>
    </row>
    <row r="23" ht="37.5" customHeight="1">
      <c r="A23" s="12">
        <f t="shared" si="1"/>
        <v>20</v>
      </c>
      <c r="B23" s="23" t="s">
        <v>175</v>
      </c>
      <c r="C23" s="24" t="s">
        <v>176</v>
      </c>
      <c r="D23" s="25"/>
    </row>
    <row r="24" ht="37.5" customHeight="1">
      <c r="A24" s="12">
        <f t="shared" si="1"/>
        <v>21</v>
      </c>
      <c r="B24" s="23" t="s">
        <v>177</v>
      </c>
      <c r="C24" s="24" t="s">
        <v>178</v>
      </c>
      <c r="D24" s="25"/>
    </row>
    <row r="25" ht="37.5" customHeight="1">
      <c r="A25" s="12">
        <f t="shared" si="1"/>
        <v>22</v>
      </c>
      <c r="B25" s="23" t="s">
        <v>179</v>
      </c>
      <c r="C25" s="24" t="s">
        <v>180</v>
      </c>
      <c r="D25" s="25"/>
    </row>
    <row r="26" ht="37.5" customHeight="1">
      <c r="A26" s="12">
        <f t="shared" si="1"/>
        <v>23</v>
      </c>
      <c r="B26" s="23" t="s">
        <v>181</v>
      </c>
      <c r="C26" s="24" t="s">
        <v>182</v>
      </c>
      <c r="D26" s="25"/>
    </row>
    <row r="27" ht="37.5" customHeight="1">
      <c r="A27" s="12">
        <f t="shared" si="1"/>
        <v>24</v>
      </c>
      <c r="B27" s="23" t="s">
        <v>183</v>
      </c>
      <c r="C27" s="24" t="s">
        <v>184</v>
      </c>
      <c r="D27" s="25"/>
    </row>
    <row r="28" ht="37.5" customHeight="1">
      <c r="A28" s="26"/>
      <c r="B28" s="27"/>
      <c r="C28" s="27"/>
      <c r="D28" s="27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A1:D1"/>
    <mergeCell ref="A2:D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33.75"/>
    <col customWidth="1" min="3" max="3" width="13.38"/>
    <col customWidth="1" min="4" max="5" width="3.88"/>
    <col customWidth="1" min="6" max="6" width="21.63"/>
    <col customWidth="1" min="7" max="9" width="3.88"/>
    <col customWidth="1" min="10" max="10" width="20.25"/>
    <col customWidth="1" min="11" max="22" width="3.88"/>
    <col customWidth="1" min="23" max="23" width="4.63"/>
    <col customWidth="1" min="24" max="24" width="17.0"/>
    <col customWidth="1" min="25" max="25" width="30.38"/>
  </cols>
  <sheetData>
    <row r="1" ht="39.0" customHeight="1">
      <c r="A1" s="28" t="s">
        <v>185</v>
      </c>
    </row>
    <row r="2" ht="28.5" customHeight="1"/>
    <row r="3" ht="62.25" customHeight="1">
      <c r="A3" s="29">
        <f>'Invetario de Tablas'!A4</f>
        <v>1</v>
      </c>
      <c r="B3" s="30" t="s">
        <v>134</v>
      </c>
      <c r="C3" s="31" t="str">
        <f>'Invetario de Tablas'!B4</f>
        <v>usuario</v>
      </c>
      <c r="D3" s="32"/>
      <c r="E3" s="32"/>
      <c r="F3" s="33"/>
      <c r="G3" s="30" t="s">
        <v>135</v>
      </c>
      <c r="H3" s="32"/>
      <c r="I3" s="32"/>
      <c r="J3" s="33"/>
      <c r="K3" s="34" t="str">
        <f>'Invetario de Tablas'!C4</f>
        <v>datos del usuario dentro de la red social</v>
      </c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3"/>
      <c r="X3" s="35" t="s">
        <v>186</v>
      </c>
      <c r="Y3" s="36">
        <v>46023.0</v>
      </c>
    </row>
    <row r="4" ht="42.75" customHeight="1">
      <c r="A4" s="37" t="s">
        <v>1</v>
      </c>
      <c r="B4" s="38" t="s">
        <v>187</v>
      </c>
      <c r="C4" s="39" t="s">
        <v>188</v>
      </c>
      <c r="D4" s="5"/>
      <c r="E4" s="5"/>
      <c r="F4" s="6"/>
      <c r="G4" s="39" t="s">
        <v>189</v>
      </c>
      <c r="H4" s="5"/>
      <c r="I4" s="5"/>
      <c r="J4" s="6"/>
      <c r="K4" s="39" t="s">
        <v>190</v>
      </c>
      <c r="L4" s="5"/>
      <c r="M4" s="5"/>
      <c r="N4" s="6"/>
      <c r="O4" s="39" t="s">
        <v>191</v>
      </c>
      <c r="P4" s="5"/>
      <c r="Q4" s="6"/>
      <c r="R4" s="39" t="s">
        <v>192</v>
      </c>
      <c r="S4" s="6"/>
      <c r="T4" s="39" t="s">
        <v>193</v>
      </c>
      <c r="U4" s="6"/>
      <c r="V4" s="39" t="s">
        <v>194</v>
      </c>
      <c r="W4" s="6"/>
      <c r="X4" s="39" t="s">
        <v>195</v>
      </c>
      <c r="Y4" s="40"/>
    </row>
    <row r="5" ht="30.0" customHeight="1">
      <c r="A5" s="41">
        <v>1.0</v>
      </c>
      <c r="B5" s="42" t="s">
        <v>196</v>
      </c>
      <c r="C5" s="43" t="s">
        <v>197</v>
      </c>
      <c r="D5" s="5"/>
      <c r="E5" s="5"/>
      <c r="F5" s="6"/>
      <c r="G5" s="44" t="s">
        <v>198</v>
      </c>
      <c r="H5" s="5"/>
      <c r="I5" s="5"/>
      <c r="J5" s="6"/>
      <c r="K5" s="45">
        <v>15.0</v>
      </c>
      <c r="L5" s="5"/>
      <c r="M5" s="5"/>
      <c r="N5" s="6"/>
      <c r="O5" s="45" t="s">
        <v>199</v>
      </c>
      <c r="P5" s="5"/>
      <c r="Q5" s="6"/>
      <c r="R5" s="46" t="s">
        <v>200</v>
      </c>
      <c r="S5" s="6"/>
      <c r="T5" s="47"/>
      <c r="U5" s="6"/>
      <c r="V5" s="47"/>
      <c r="W5" s="6"/>
      <c r="X5" s="47"/>
      <c r="Y5" s="6"/>
    </row>
    <row r="6" ht="30.0" customHeight="1">
      <c r="A6" s="41">
        <v>2.0</v>
      </c>
      <c r="B6" s="42" t="s">
        <v>201</v>
      </c>
      <c r="C6" s="43" t="s">
        <v>202</v>
      </c>
      <c r="D6" s="5"/>
      <c r="E6" s="5"/>
      <c r="F6" s="6"/>
      <c r="G6" s="45" t="s">
        <v>203</v>
      </c>
      <c r="H6" s="5"/>
      <c r="I6" s="5"/>
      <c r="J6" s="6"/>
      <c r="K6" s="45">
        <v>50.0</v>
      </c>
      <c r="L6" s="5"/>
      <c r="M6" s="5"/>
      <c r="N6" s="6"/>
      <c r="O6" s="45" t="s">
        <v>199</v>
      </c>
      <c r="P6" s="5"/>
      <c r="Q6" s="6"/>
      <c r="R6" s="47"/>
      <c r="S6" s="6"/>
      <c r="T6" s="47"/>
      <c r="U6" s="6"/>
      <c r="V6" s="47"/>
      <c r="W6" s="6"/>
      <c r="X6" s="47"/>
      <c r="Y6" s="6"/>
    </row>
    <row r="7" ht="30.0" customHeight="1">
      <c r="A7" s="41">
        <v>3.0</v>
      </c>
      <c r="B7" s="42" t="s">
        <v>204</v>
      </c>
      <c r="C7" s="43" t="s">
        <v>205</v>
      </c>
      <c r="D7" s="5"/>
      <c r="E7" s="5"/>
      <c r="F7" s="6"/>
      <c r="G7" s="45" t="s">
        <v>203</v>
      </c>
      <c r="H7" s="5"/>
      <c r="I7" s="5"/>
      <c r="J7" s="6"/>
      <c r="K7" s="45">
        <v>50.0</v>
      </c>
      <c r="L7" s="5"/>
      <c r="M7" s="5"/>
      <c r="N7" s="6"/>
      <c r="O7" s="45" t="s">
        <v>206</v>
      </c>
      <c r="P7" s="5"/>
      <c r="Q7" s="6"/>
      <c r="R7" s="47"/>
      <c r="S7" s="6"/>
      <c r="T7" s="47"/>
      <c r="U7" s="6"/>
      <c r="V7" s="47"/>
      <c r="W7" s="6"/>
      <c r="X7" s="47"/>
      <c r="Y7" s="6"/>
    </row>
    <row r="8" ht="30.0" customHeight="1">
      <c r="A8" s="41">
        <v>4.0</v>
      </c>
      <c r="B8" s="42" t="s">
        <v>207</v>
      </c>
      <c r="C8" s="43" t="s">
        <v>208</v>
      </c>
      <c r="D8" s="5"/>
      <c r="E8" s="5"/>
      <c r="F8" s="6"/>
      <c r="G8" s="45" t="s">
        <v>203</v>
      </c>
      <c r="H8" s="5"/>
      <c r="I8" s="5"/>
      <c r="J8" s="6"/>
      <c r="K8" s="45">
        <v>50.0</v>
      </c>
      <c r="L8" s="5"/>
      <c r="M8" s="5"/>
      <c r="N8" s="6"/>
      <c r="O8" s="45" t="s">
        <v>199</v>
      </c>
      <c r="P8" s="5"/>
      <c r="Q8" s="6"/>
      <c r="R8" s="47"/>
      <c r="S8" s="6"/>
      <c r="T8" s="47"/>
      <c r="U8" s="6"/>
      <c r="V8" s="47"/>
      <c r="W8" s="6"/>
      <c r="X8" s="47"/>
      <c r="Y8" s="6"/>
    </row>
    <row r="9" ht="30.0" customHeight="1">
      <c r="A9" s="41">
        <v>5.0</v>
      </c>
      <c r="B9" s="42" t="s">
        <v>209</v>
      </c>
      <c r="C9" s="43" t="s">
        <v>210</v>
      </c>
      <c r="D9" s="5"/>
      <c r="E9" s="5"/>
      <c r="F9" s="6"/>
      <c r="G9" s="45" t="s">
        <v>203</v>
      </c>
      <c r="H9" s="5"/>
      <c r="I9" s="5"/>
      <c r="J9" s="6"/>
      <c r="K9" s="45">
        <v>50.0</v>
      </c>
      <c r="L9" s="5"/>
      <c r="M9" s="5"/>
      <c r="N9" s="6"/>
      <c r="O9" s="45" t="s">
        <v>206</v>
      </c>
      <c r="P9" s="5"/>
      <c r="Q9" s="6"/>
      <c r="R9" s="47"/>
      <c r="S9" s="6"/>
      <c r="T9" s="47"/>
      <c r="U9" s="6"/>
      <c r="V9" s="47"/>
      <c r="W9" s="6"/>
      <c r="X9" s="47"/>
      <c r="Y9" s="6"/>
    </row>
    <row r="10" ht="30.0" customHeight="1">
      <c r="A10" s="48">
        <v>6.0</v>
      </c>
      <c r="B10" s="42" t="s">
        <v>211</v>
      </c>
      <c r="C10" s="43" t="s">
        <v>212</v>
      </c>
      <c r="D10" s="5"/>
      <c r="E10" s="5"/>
      <c r="F10" s="6"/>
      <c r="G10" s="45" t="s">
        <v>203</v>
      </c>
      <c r="H10" s="5"/>
      <c r="I10" s="5"/>
      <c r="J10" s="6"/>
      <c r="K10" s="45">
        <v>100.0</v>
      </c>
      <c r="L10" s="5"/>
      <c r="M10" s="5"/>
      <c r="N10" s="6"/>
      <c r="O10" s="45" t="s">
        <v>206</v>
      </c>
      <c r="P10" s="5"/>
      <c r="Q10" s="6"/>
      <c r="R10" s="47"/>
      <c r="S10" s="6"/>
      <c r="T10" s="47"/>
      <c r="U10" s="6"/>
      <c r="V10" s="47"/>
      <c r="W10" s="6"/>
      <c r="X10" s="47"/>
      <c r="Y10" s="6"/>
    </row>
    <row r="11" ht="30.0" customHeight="1">
      <c r="A11" s="48">
        <v>7.0</v>
      </c>
      <c r="B11" s="42" t="s">
        <v>213</v>
      </c>
      <c r="C11" s="43" t="s">
        <v>214</v>
      </c>
      <c r="D11" s="5"/>
      <c r="E11" s="5"/>
      <c r="F11" s="6"/>
      <c r="G11" s="45" t="s">
        <v>203</v>
      </c>
      <c r="H11" s="5"/>
      <c r="I11" s="5"/>
      <c r="J11" s="6"/>
      <c r="K11" s="45">
        <v>100.0</v>
      </c>
      <c r="L11" s="5"/>
      <c r="M11" s="5"/>
      <c r="N11" s="6"/>
      <c r="O11" s="45" t="s">
        <v>199</v>
      </c>
      <c r="P11" s="5"/>
      <c r="Q11" s="6"/>
      <c r="R11" s="47"/>
      <c r="S11" s="6"/>
      <c r="T11" s="47"/>
      <c r="U11" s="6"/>
      <c r="V11" s="46" t="s">
        <v>200</v>
      </c>
      <c r="W11" s="6"/>
      <c r="X11" s="47"/>
      <c r="Y11" s="6"/>
    </row>
    <row r="12" ht="28.5" customHeight="1">
      <c r="A12" s="48">
        <v>8.0</v>
      </c>
      <c r="B12" s="42" t="s">
        <v>215</v>
      </c>
      <c r="C12" s="43" t="s">
        <v>216</v>
      </c>
      <c r="D12" s="5"/>
      <c r="E12" s="5"/>
      <c r="F12" s="6"/>
      <c r="G12" s="45" t="s">
        <v>203</v>
      </c>
      <c r="H12" s="5"/>
      <c r="I12" s="5"/>
      <c r="J12" s="6"/>
      <c r="K12" s="45">
        <v>15.0</v>
      </c>
      <c r="L12" s="5"/>
      <c r="M12" s="5"/>
      <c r="N12" s="6"/>
      <c r="O12" s="45" t="s">
        <v>199</v>
      </c>
      <c r="P12" s="5"/>
      <c r="Q12" s="6"/>
      <c r="R12" s="47"/>
      <c r="S12" s="6"/>
      <c r="T12" s="47"/>
      <c r="U12" s="6"/>
      <c r="V12" s="47"/>
      <c r="W12" s="6"/>
      <c r="X12" s="47"/>
      <c r="Y12" s="6"/>
    </row>
    <row r="13" ht="31.5" customHeight="1">
      <c r="A13" s="49">
        <v>9.0</v>
      </c>
      <c r="B13" s="50" t="s">
        <v>217</v>
      </c>
      <c r="C13" s="51" t="s">
        <v>218</v>
      </c>
      <c r="D13" s="5"/>
      <c r="E13" s="5"/>
      <c r="F13" s="6"/>
      <c r="G13" s="52" t="s">
        <v>203</v>
      </c>
      <c r="H13" s="5"/>
      <c r="I13" s="5"/>
      <c r="J13" s="6"/>
      <c r="K13" s="52">
        <v>30.0</v>
      </c>
      <c r="L13" s="5"/>
      <c r="M13" s="5"/>
      <c r="N13" s="6"/>
      <c r="O13" s="52" t="s">
        <v>199</v>
      </c>
      <c r="P13" s="5"/>
      <c r="Q13" s="6"/>
      <c r="R13" s="53"/>
      <c r="S13" s="6"/>
      <c r="T13" s="53"/>
      <c r="U13" s="6"/>
      <c r="V13" s="54" t="s">
        <v>200</v>
      </c>
      <c r="W13" s="6"/>
      <c r="X13" s="53"/>
      <c r="Y13" s="6"/>
    </row>
    <row r="14" ht="31.5" customHeight="1">
      <c r="A14" s="55">
        <v>10.0</v>
      </c>
      <c r="B14" s="50" t="s">
        <v>219</v>
      </c>
      <c r="C14" s="51" t="s">
        <v>220</v>
      </c>
      <c r="D14" s="5"/>
      <c r="E14" s="5"/>
      <c r="F14" s="6"/>
      <c r="G14" s="52" t="s">
        <v>221</v>
      </c>
      <c r="H14" s="5"/>
      <c r="I14" s="5"/>
      <c r="J14" s="6"/>
      <c r="K14" s="52">
        <v>6.0</v>
      </c>
      <c r="L14" s="5"/>
      <c r="M14" s="5"/>
      <c r="N14" s="6"/>
      <c r="O14" s="52" t="s">
        <v>199</v>
      </c>
      <c r="P14" s="5"/>
      <c r="Q14" s="6"/>
      <c r="R14" s="53"/>
      <c r="S14" s="6"/>
      <c r="T14" s="54" t="s">
        <v>200</v>
      </c>
      <c r="U14" s="6"/>
      <c r="V14" s="53"/>
      <c r="W14" s="6"/>
      <c r="X14" s="53"/>
      <c r="Y14" s="6"/>
    </row>
    <row r="15" ht="31.5" customHeight="1">
      <c r="A15" s="56" t="s">
        <v>222</v>
      </c>
      <c r="B15" s="57"/>
      <c r="C15" s="58"/>
      <c r="D15" s="5"/>
      <c r="E15" s="5"/>
      <c r="F15" s="6"/>
      <c r="G15" s="58"/>
      <c r="H15" s="5"/>
      <c r="I15" s="5"/>
      <c r="J15" s="6"/>
      <c r="K15" s="58"/>
      <c r="L15" s="5"/>
      <c r="M15" s="5"/>
      <c r="N15" s="6"/>
      <c r="O15" s="58"/>
      <c r="P15" s="5"/>
      <c r="Q15" s="6"/>
      <c r="R15" s="58"/>
      <c r="S15" s="6"/>
      <c r="T15" s="58"/>
      <c r="U15" s="6"/>
      <c r="V15" s="58"/>
      <c r="W15" s="6"/>
      <c r="X15" s="58"/>
      <c r="Y15" s="6"/>
    </row>
    <row r="16" ht="31.5" customHeight="1"/>
    <row r="17" ht="54.0" customHeight="1">
      <c r="A17" s="29">
        <f>'Invetario de Tablas'!A5</f>
        <v>2</v>
      </c>
      <c r="B17" s="30" t="s">
        <v>134</v>
      </c>
      <c r="C17" s="31" t="str">
        <f>'Invetario de Tablas'!B5</f>
        <v>rol</v>
      </c>
      <c r="D17" s="32"/>
      <c r="E17" s="32"/>
      <c r="F17" s="33"/>
      <c r="G17" s="30" t="s">
        <v>135</v>
      </c>
      <c r="H17" s="32"/>
      <c r="I17" s="32"/>
      <c r="J17" s="33"/>
      <c r="K17" s="34" t="str">
        <f>'Invetario de Tablas'!C5</f>
        <v>rol del usuario dentro de la red social</v>
      </c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3"/>
      <c r="X17" s="35" t="s">
        <v>186</v>
      </c>
      <c r="Y17" s="59">
        <f>Y3</f>
        <v>46023</v>
      </c>
    </row>
    <row r="18" ht="60.0" customHeight="1">
      <c r="A18" s="37" t="s">
        <v>1</v>
      </c>
      <c r="B18" s="38" t="s">
        <v>187</v>
      </c>
      <c r="C18" s="39" t="s">
        <v>188</v>
      </c>
      <c r="D18" s="5"/>
      <c r="E18" s="5"/>
      <c r="F18" s="6"/>
      <c r="G18" s="39" t="s">
        <v>189</v>
      </c>
      <c r="H18" s="5"/>
      <c r="I18" s="5"/>
      <c r="J18" s="6"/>
      <c r="K18" s="39" t="s">
        <v>190</v>
      </c>
      <c r="L18" s="5"/>
      <c r="M18" s="5"/>
      <c r="N18" s="6"/>
      <c r="O18" s="39" t="s">
        <v>191</v>
      </c>
      <c r="P18" s="5"/>
      <c r="Q18" s="6"/>
      <c r="R18" s="39" t="s">
        <v>192</v>
      </c>
      <c r="S18" s="6"/>
      <c r="T18" s="39" t="s">
        <v>193</v>
      </c>
      <c r="U18" s="6"/>
      <c r="V18" s="39" t="s">
        <v>194</v>
      </c>
      <c r="W18" s="6"/>
      <c r="X18" s="39" t="s">
        <v>195</v>
      </c>
      <c r="Y18" s="40"/>
    </row>
    <row r="19" ht="30.0" customHeight="1">
      <c r="A19" s="41">
        <v>1.0</v>
      </c>
      <c r="B19" s="42" t="s">
        <v>219</v>
      </c>
      <c r="C19" s="43" t="s">
        <v>220</v>
      </c>
      <c r="D19" s="5"/>
      <c r="E19" s="5"/>
      <c r="F19" s="6"/>
      <c r="G19" s="45" t="s">
        <v>223</v>
      </c>
      <c r="H19" s="5"/>
      <c r="I19" s="5"/>
      <c r="J19" s="6"/>
      <c r="K19" s="45">
        <v>6.0</v>
      </c>
      <c r="L19" s="5"/>
      <c r="M19" s="5"/>
      <c r="N19" s="6"/>
      <c r="O19" s="45" t="s">
        <v>199</v>
      </c>
      <c r="P19" s="5"/>
      <c r="Q19" s="6"/>
      <c r="R19" s="46" t="s">
        <v>200</v>
      </c>
      <c r="S19" s="6"/>
      <c r="T19" s="47"/>
      <c r="U19" s="6"/>
      <c r="V19" s="47"/>
      <c r="W19" s="6"/>
      <c r="X19" s="60"/>
      <c r="Y19" s="40"/>
    </row>
    <row r="20" ht="30.0" customHeight="1">
      <c r="A20" s="41">
        <v>2.0</v>
      </c>
      <c r="B20" s="42" t="s">
        <v>224</v>
      </c>
      <c r="C20" s="43" t="s">
        <v>225</v>
      </c>
      <c r="D20" s="5"/>
      <c r="E20" s="5"/>
      <c r="F20" s="6"/>
      <c r="G20" s="45" t="s">
        <v>203</v>
      </c>
      <c r="H20" s="5"/>
      <c r="I20" s="5"/>
      <c r="J20" s="6"/>
      <c r="K20" s="45">
        <v>20.0</v>
      </c>
      <c r="L20" s="5"/>
      <c r="M20" s="5"/>
      <c r="N20" s="6"/>
      <c r="O20" s="45" t="s">
        <v>199</v>
      </c>
      <c r="P20" s="5"/>
      <c r="Q20" s="6"/>
      <c r="R20" s="47"/>
      <c r="S20" s="6"/>
      <c r="T20" s="47"/>
      <c r="U20" s="6"/>
      <c r="V20" s="47"/>
      <c r="W20" s="6"/>
      <c r="X20" s="60"/>
      <c r="Y20" s="6"/>
    </row>
    <row r="21" ht="45.75" customHeight="1">
      <c r="A21" s="61"/>
      <c r="B21" s="62"/>
      <c r="C21" s="62"/>
      <c r="G21" s="62"/>
      <c r="K21" s="62"/>
      <c r="O21" s="62"/>
      <c r="R21" s="62"/>
      <c r="T21" s="62"/>
      <c r="V21" s="62"/>
      <c r="X21" s="62"/>
    </row>
    <row r="22" ht="45.75" customHeight="1">
      <c r="A22" s="61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</row>
    <row r="23" ht="45.75" customHeight="1">
      <c r="A23" s="63">
        <v>3.0</v>
      </c>
      <c r="B23" s="30" t="s">
        <v>134</v>
      </c>
      <c r="C23" s="31" t="str">
        <f>'Invetario de Tablas'!B6</f>
        <v>tipo_usuario</v>
      </c>
      <c r="D23" s="32"/>
      <c r="E23" s="32"/>
      <c r="F23" s="33"/>
      <c r="G23" s="30" t="s">
        <v>135</v>
      </c>
      <c r="H23" s="32"/>
      <c r="I23" s="32"/>
      <c r="J23" s="33"/>
      <c r="K23" s="34" t="str">
        <f>'Invetario de Tablas'!C6</f>
        <v>el tipo de puesto que tiene dentro de la institucion o en la red social</v>
      </c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3"/>
      <c r="X23" s="35" t="s">
        <v>186</v>
      </c>
      <c r="Y23" s="59">
        <f>Y3</f>
        <v>46023</v>
      </c>
    </row>
    <row r="24" ht="45.75" customHeight="1">
      <c r="A24" s="37" t="s">
        <v>1</v>
      </c>
      <c r="B24" s="38" t="s">
        <v>187</v>
      </c>
      <c r="C24" s="39" t="s">
        <v>188</v>
      </c>
      <c r="D24" s="5"/>
      <c r="E24" s="5"/>
      <c r="F24" s="6"/>
      <c r="G24" s="39" t="s">
        <v>189</v>
      </c>
      <c r="H24" s="5"/>
      <c r="I24" s="5"/>
      <c r="J24" s="6"/>
      <c r="K24" s="39" t="s">
        <v>190</v>
      </c>
      <c r="L24" s="5"/>
      <c r="M24" s="5"/>
      <c r="N24" s="6"/>
      <c r="O24" s="39" t="s">
        <v>191</v>
      </c>
      <c r="P24" s="5"/>
      <c r="Q24" s="6"/>
      <c r="R24" s="39" t="s">
        <v>192</v>
      </c>
      <c r="S24" s="6"/>
      <c r="T24" s="39" t="s">
        <v>193</v>
      </c>
      <c r="U24" s="6"/>
      <c r="V24" s="39" t="s">
        <v>194</v>
      </c>
      <c r="W24" s="6"/>
      <c r="X24" s="39" t="s">
        <v>195</v>
      </c>
      <c r="Y24" s="40"/>
    </row>
    <row r="25" ht="45.75" customHeight="1">
      <c r="A25" s="41">
        <v>1.0</v>
      </c>
      <c r="B25" s="42" t="s">
        <v>226</v>
      </c>
      <c r="C25" s="43" t="s">
        <v>227</v>
      </c>
      <c r="D25" s="5"/>
      <c r="E25" s="5"/>
      <c r="F25" s="6"/>
      <c r="G25" s="45" t="s">
        <v>223</v>
      </c>
      <c r="H25" s="5"/>
      <c r="I25" s="5"/>
      <c r="J25" s="6"/>
      <c r="K25" s="45">
        <v>5.0</v>
      </c>
      <c r="L25" s="5"/>
      <c r="M25" s="5"/>
      <c r="N25" s="6"/>
      <c r="O25" s="45" t="s">
        <v>199</v>
      </c>
      <c r="P25" s="5"/>
      <c r="Q25" s="6"/>
      <c r="R25" s="46" t="s">
        <v>200</v>
      </c>
      <c r="S25" s="6"/>
      <c r="T25" s="47"/>
      <c r="U25" s="6"/>
      <c r="V25" s="47"/>
      <c r="W25" s="6"/>
      <c r="X25" s="43" t="s">
        <v>228</v>
      </c>
      <c r="Y25" s="6"/>
    </row>
    <row r="26" ht="45.75" customHeight="1">
      <c r="A26" s="41">
        <v>2.0</v>
      </c>
      <c r="B26" s="42" t="s">
        <v>229</v>
      </c>
      <c r="C26" s="43" t="s">
        <v>230</v>
      </c>
      <c r="D26" s="5"/>
      <c r="E26" s="5"/>
      <c r="F26" s="6"/>
      <c r="G26" s="45" t="s">
        <v>203</v>
      </c>
      <c r="H26" s="5"/>
      <c r="I26" s="5"/>
      <c r="J26" s="6"/>
      <c r="K26" s="45">
        <v>20.0</v>
      </c>
      <c r="L26" s="5"/>
      <c r="M26" s="5"/>
      <c r="N26" s="6"/>
      <c r="O26" s="45" t="s">
        <v>199</v>
      </c>
      <c r="P26" s="5"/>
      <c r="Q26" s="6"/>
      <c r="R26" s="47"/>
      <c r="S26" s="6"/>
      <c r="T26" s="47"/>
      <c r="U26" s="6"/>
      <c r="V26" s="47"/>
      <c r="W26" s="6"/>
      <c r="X26" s="47"/>
      <c r="Y26" s="6"/>
    </row>
    <row r="27" ht="45.75" customHeight="1">
      <c r="A27" s="64"/>
      <c r="B27" s="65"/>
      <c r="C27" s="66"/>
      <c r="G27" s="65"/>
      <c r="K27" s="65"/>
      <c r="O27" s="65"/>
      <c r="R27" s="67"/>
      <c r="T27" s="67"/>
      <c r="V27" s="67"/>
      <c r="X27" s="67"/>
    </row>
    <row r="28" ht="45.75" customHeight="1"/>
    <row r="29" ht="45.75" customHeight="1">
      <c r="A29" s="63">
        <v>4.0</v>
      </c>
      <c r="B29" s="30" t="s">
        <v>134</v>
      </c>
      <c r="C29" s="31" t="str">
        <f>'Invetario de Tablas'!B7</f>
        <v>perfil</v>
      </c>
      <c r="D29" s="32"/>
      <c r="E29" s="32"/>
      <c r="F29" s="33"/>
      <c r="G29" s="30" t="s">
        <v>135</v>
      </c>
      <c r="H29" s="32"/>
      <c r="I29" s="32"/>
      <c r="J29" s="33"/>
      <c r="K29" s="34" t="str">
        <f>'Invetario de Tablas'!C7</f>
        <v>descripción del usuario</v>
      </c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3"/>
      <c r="X29" s="35" t="s">
        <v>186</v>
      </c>
      <c r="Y29" s="59">
        <f>Y3</f>
        <v>46023</v>
      </c>
    </row>
    <row r="30" ht="45.75" customHeight="1">
      <c r="A30" s="37" t="s">
        <v>1</v>
      </c>
      <c r="B30" s="38" t="s">
        <v>187</v>
      </c>
      <c r="C30" s="39" t="s">
        <v>188</v>
      </c>
      <c r="D30" s="5"/>
      <c r="E30" s="5"/>
      <c r="F30" s="6"/>
      <c r="G30" s="39" t="s">
        <v>189</v>
      </c>
      <c r="H30" s="5"/>
      <c r="I30" s="5"/>
      <c r="J30" s="6"/>
      <c r="K30" s="39" t="s">
        <v>190</v>
      </c>
      <c r="L30" s="5"/>
      <c r="M30" s="5"/>
      <c r="N30" s="6"/>
      <c r="O30" s="39" t="s">
        <v>191</v>
      </c>
      <c r="P30" s="5"/>
      <c r="Q30" s="6"/>
      <c r="R30" s="39" t="s">
        <v>192</v>
      </c>
      <c r="S30" s="6"/>
      <c r="T30" s="39" t="s">
        <v>193</v>
      </c>
      <c r="U30" s="6"/>
      <c r="V30" s="39" t="s">
        <v>194</v>
      </c>
      <c r="W30" s="6"/>
      <c r="X30" s="39" t="s">
        <v>195</v>
      </c>
      <c r="Y30" s="40"/>
    </row>
    <row r="31" ht="45.75" customHeight="1">
      <c r="A31" s="41">
        <v>1.0</v>
      </c>
      <c r="B31" s="42" t="s">
        <v>196</v>
      </c>
      <c r="C31" s="43" t="s">
        <v>231</v>
      </c>
      <c r="D31" s="5"/>
      <c r="E31" s="5"/>
      <c r="F31" s="6"/>
      <c r="G31" s="44" t="s">
        <v>198</v>
      </c>
      <c r="H31" s="5"/>
      <c r="I31" s="5"/>
      <c r="J31" s="6"/>
      <c r="K31" s="45">
        <v>15.0</v>
      </c>
      <c r="L31" s="5"/>
      <c r="M31" s="5"/>
      <c r="N31" s="6"/>
      <c r="O31" s="45" t="s">
        <v>199</v>
      </c>
      <c r="P31" s="5"/>
      <c r="Q31" s="6"/>
      <c r="R31" s="68" t="s">
        <v>200</v>
      </c>
      <c r="S31" s="6"/>
      <c r="T31" s="68" t="s">
        <v>200</v>
      </c>
      <c r="U31" s="6"/>
      <c r="V31" s="47"/>
      <c r="W31" s="6"/>
      <c r="X31" s="69" t="s">
        <v>232</v>
      </c>
      <c r="Y31" s="6"/>
    </row>
    <row r="32" ht="45.75" customHeight="1">
      <c r="A32" s="41">
        <v>2.0</v>
      </c>
      <c r="B32" s="42" t="s">
        <v>233</v>
      </c>
      <c r="C32" s="43" t="s">
        <v>234</v>
      </c>
      <c r="D32" s="5"/>
      <c r="E32" s="5"/>
      <c r="F32" s="6"/>
      <c r="G32" s="45" t="s">
        <v>203</v>
      </c>
      <c r="H32" s="5"/>
      <c r="I32" s="5"/>
      <c r="J32" s="6"/>
      <c r="K32" s="45">
        <v>100.0</v>
      </c>
      <c r="L32" s="5"/>
      <c r="M32" s="5"/>
      <c r="N32" s="6"/>
      <c r="O32" s="45" t="s">
        <v>206</v>
      </c>
      <c r="P32" s="5"/>
      <c r="Q32" s="6"/>
      <c r="R32" s="47"/>
      <c r="S32" s="6"/>
      <c r="T32" s="47"/>
      <c r="U32" s="6"/>
      <c r="V32" s="47"/>
      <c r="W32" s="6"/>
      <c r="X32" s="47"/>
      <c r="Y32" s="6"/>
    </row>
    <row r="33" ht="45.75" customHeight="1">
      <c r="A33" s="41">
        <v>3.0</v>
      </c>
      <c r="B33" s="42" t="s">
        <v>235</v>
      </c>
      <c r="C33" s="43" t="s">
        <v>236</v>
      </c>
      <c r="D33" s="5"/>
      <c r="E33" s="5"/>
      <c r="F33" s="6"/>
      <c r="G33" s="45" t="s">
        <v>203</v>
      </c>
      <c r="H33" s="5"/>
      <c r="I33" s="5"/>
      <c r="J33" s="6"/>
      <c r="K33" s="45">
        <v>300.0</v>
      </c>
      <c r="L33" s="5"/>
      <c r="M33" s="5"/>
      <c r="N33" s="6"/>
      <c r="O33" s="45" t="s">
        <v>206</v>
      </c>
      <c r="P33" s="5"/>
      <c r="Q33" s="6"/>
      <c r="R33" s="47"/>
      <c r="S33" s="6"/>
      <c r="T33" s="47"/>
      <c r="U33" s="6"/>
      <c r="V33" s="47"/>
      <c r="W33" s="6"/>
      <c r="X33" s="47"/>
      <c r="Y33" s="6"/>
    </row>
    <row r="34" ht="45.75" customHeight="1">
      <c r="A34" s="64"/>
      <c r="B34" s="65"/>
      <c r="C34" s="66"/>
      <c r="G34" s="65"/>
      <c r="K34" s="65"/>
      <c r="O34" s="65"/>
      <c r="R34" s="67"/>
      <c r="T34" s="67"/>
      <c r="V34" s="67"/>
      <c r="X34" s="67"/>
    </row>
    <row r="35" ht="45.75" customHeight="1">
      <c r="A35" s="64"/>
      <c r="B35" s="65"/>
      <c r="C35" s="66"/>
      <c r="G35" s="65"/>
      <c r="K35" s="65"/>
      <c r="O35" s="65"/>
      <c r="R35" s="67"/>
      <c r="T35" s="67"/>
      <c r="V35" s="67"/>
      <c r="X35" s="67"/>
    </row>
    <row r="36" ht="45.75" customHeight="1"/>
    <row r="37" ht="45.75" customHeight="1"/>
    <row r="38" ht="45.75" customHeight="1"/>
    <row r="39" ht="45.75" customHeight="1"/>
    <row r="40" ht="45.75" customHeight="1"/>
    <row r="41" ht="45.75" customHeight="1">
      <c r="A41" s="63">
        <v>5.0</v>
      </c>
      <c r="B41" s="70" t="s">
        <v>134</v>
      </c>
      <c r="C41" s="71" t="str">
        <f>'Invetario de Tablas'!B8</f>
        <v>publicacion</v>
      </c>
      <c r="D41" s="32"/>
      <c r="E41" s="32"/>
      <c r="F41" s="33"/>
      <c r="G41" s="70" t="s">
        <v>135</v>
      </c>
      <c r="H41" s="32"/>
      <c r="I41" s="32"/>
      <c r="J41" s="33"/>
      <c r="K41" s="72" t="str">
        <f>'Invetario de Tablas'!C8</f>
        <v>difusión informativa sobre temas de interés universitarios</v>
      </c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3"/>
      <c r="X41" s="73" t="s">
        <v>186</v>
      </c>
      <c r="Y41" s="74">
        <f>Y3</f>
        <v>46023</v>
      </c>
    </row>
    <row r="42" ht="45.75" customHeight="1">
      <c r="A42" s="75" t="s">
        <v>1</v>
      </c>
      <c r="B42" s="76" t="s">
        <v>187</v>
      </c>
      <c r="C42" s="77" t="s">
        <v>188</v>
      </c>
      <c r="D42" s="5"/>
      <c r="E42" s="5"/>
      <c r="F42" s="6"/>
      <c r="G42" s="78" t="s">
        <v>189</v>
      </c>
      <c r="H42" s="5"/>
      <c r="I42" s="5"/>
      <c r="J42" s="6"/>
      <c r="K42" s="78" t="s">
        <v>190</v>
      </c>
      <c r="L42" s="5"/>
      <c r="M42" s="5"/>
      <c r="N42" s="6"/>
      <c r="O42" s="78" t="s">
        <v>191</v>
      </c>
      <c r="P42" s="5"/>
      <c r="Q42" s="6"/>
      <c r="R42" s="78" t="s">
        <v>192</v>
      </c>
      <c r="S42" s="6"/>
      <c r="T42" s="78" t="s">
        <v>193</v>
      </c>
      <c r="U42" s="6"/>
      <c r="V42" s="78" t="s">
        <v>194</v>
      </c>
      <c r="W42" s="6"/>
      <c r="X42" s="78" t="s">
        <v>195</v>
      </c>
      <c r="Y42" s="40"/>
    </row>
    <row r="43" ht="45.75" customHeight="1">
      <c r="A43" s="79">
        <v>1.0</v>
      </c>
      <c r="B43" s="50" t="s">
        <v>237</v>
      </c>
      <c r="C43" s="51" t="s">
        <v>238</v>
      </c>
      <c r="D43" s="5"/>
      <c r="E43" s="5"/>
      <c r="F43" s="6"/>
      <c r="G43" s="52" t="s">
        <v>223</v>
      </c>
      <c r="H43" s="5"/>
      <c r="I43" s="5"/>
      <c r="J43" s="6"/>
      <c r="K43" s="52">
        <v>200.0</v>
      </c>
      <c r="L43" s="5"/>
      <c r="M43" s="5"/>
      <c r="N43" s="6"/>
      <c r="O43" s="52" t="s">
        <v>199</v>
      </c>
      <c r="P43" s="5"/>
      <c r="Q43" s="6"/>
      <c r="R43" s="54" t="s">
        <v>200</v>
      </c>
      <c r="S43" s="6"/>
      <c r="T43" s="53"/>
      <c r="U43" s="6"/>
      <c r="V43" s="53"/>
      <c r="W43" s="6"/>
      <c r="X43" s="53"/>
      <c r="Y43" s="6"/>
    </row>
    <row r="44" ht="45.75" customHeight="1">
      <c r="A44" s="79">
        <v>2.0</v>
      </c>
      <c r="B44" s="50" t="s">
        <v>239</v>
      </c>
      <c r="C44" s="51" t="s">
        <v>240</v>
      </c>
      <c r="D44" s="5"/>
      <c r="E44" s="5"/>
      <c r="F44" s="6"/>
      <c r="G44" s="52" t="s">
        <v>203</v>
      </c>
      <c r="H44" s="5"/>
      <c r="I44" s="5"/>
      <c r="J44" s="6"/>
      <c r="K44" s="52">
        <v>50.0</v>
      </c>
      <c r="L44" s="5"/>
      <c r="M44" s="5"/>
      <c r="N44" s="6"/>
      <c r="O44" s="52" t="s">
        <v>206</v>
      </c>
      <c r="P44" s="5"/>
      <c r="Q44" s="6"/>
      <c r="R44" s="53"/>
      <c r="S44" s="6"/>
      <c r="T44" s="53"/>
      <c r="U44" s="6"/>
      <c r="V44" s="53"/>
      <c r="W44" s="6"/>
      <c r="X44" s="53"/>
      <c r="Y44" s="6"/>
    </row>
    <row r="45" ht="45.75" customHeight="1">
      <c r="A45" s="79">
        <v>3.0</v>
      </c>
      <c r="B45" s="50" t="s">
        <v>241</v>
      </c>
      <c r="C45" s="51" t="s">
        <v>242</v>
      </c>
      <c r="D45" s="5"/>
      <c r="E45" s="5"/>
      <c r="F45" s="6"/>
      <c r="G45" s="52" t="s">
        <v>203</v>
      </c>
      <c r="H45" s="5"/>
      <c r="I45" s="5"/>
      <c r="J45" s="6"/>
      <c r="K45" s="52">
        <v>300.0</v>
      </c>
      <c r="L45" s="5"/>
      <c r="M45" s="5"/>
      <c r="N45" s="6"/>
      <c r="O45" s="52" t="s">
        <v>199</v>
      </c>
      <c r="P45" s="5"/>
      <c r="Q45" s="6"/>
      <c r="R45" s="53"/>
      <c r="S45" s="6"/>
      <c r="T45" s="53"/>
      <c r="U45" s="6"/>
      <c r="V45" s="53"/>
      <c r="W45" s="6"/>
      <c r="X45" s="53"/>
      <c r="Y45" s="6"/>
    </row>
    <row r="46" ht="45.75" customHeight="1">
      <c r="A46" s="79">
        <v>4.0</v>
      </c>
      <c r="B46" s="50" t="s">
        <v>196</v>
      </c>
      <c r="C46" s="51" t="s">
        <v>197</v>
      </c>
      <c r="D46" s="5"/>
      <c r="E46" s="5"/>
      <c r="F46" s="6"/>
      <c r="G46" s="80" t="s">
        <v>198</v>
      </c>
      <c r="H46" s="5"/>
      <c r="I46" s="5"/>
      <c r="J46" s="6"/>
      <c r="K46" s="52">
        <v>15.0</v>
      </c>
      <c r="L46" s="5"/>
      <c r="M46" s="5"/>
      <c r="N46" s="6"/>
      <c r="O46" s="52" t="s">
        <v>199</v>
      </c>
      <c r="P46" s="5"/>
      <c r="Q46" s="6"/>
      <c r="R46" s="53"/>
      <c r="S46" s="6"/>
      <c r="T46" s="54" t="s">
        <v>200</v>
      </c>
      <c r="U46" s="6"/>
      <c r="V46" s="53"/>
      <c r="W46" s="6"/>
      <c r="X46" s="53"/>
      <c r="Y46" s="6"/>
    </row>
    <row r="47" ht="45.75" customHeight="1">
      <c r="A47" s="79">
        <v>5.0</v>
      </c>
      <c r="B47" s="50" t="s">
        <v>243</v>
      </c>
      <c r="C47" s="51" t="s">
        <v>244</v>
      </c>
      <c r="D47" s="5"/>
      <c r="E47" s="5"/>
      <c r="F47" s="6"/>
      <c r="G47" s="52" t="s">
        <v>245</v>
      </c>
      <c r="H47" s="5"/>
      <c r="I47" s="5"/>
      <c r="J47" s="6"/>
      <c r="K47" s="52">
        <v>10.0</v>
      </c>
      <c r="L47" s="5"/>
      <c r="M47" s="5"/>
      <c r="N47" s="6"/>
      <c r="O47" s="52" t="s">
        <v>199</v>
      </c>
      <c r="P47" s="5"/>
      <c r="Q47" s="6"/>
      <c r="R47" s="53"/>
      <c r="S47" s="6"/>
      <c r="T47" s="53"/>
      <c r="U47" s="6"/>
      <c r="V47" s="53"/>
      <c r="W47" s="6"/>
      <c r="X47" s="53"/>
      <c r="Y47" s="6"/>
    </row>
    <row r="48" ht="45.75" customHeight="1"/>
    <row r="49" ht="45.75" customHeight="1"/>
    <row r="50" ht="45.75" customHeight="1"/>
    <row r="51" ht="45.75" customHeight="1"/>
    <row r="52" ht="45.75" customHeight="1"/>
    <row r="53" ht="45.75" customHeight="1">
      <c r="A53" s="63">
        <v>6.0</v>
      </c>
      <c r="B53" s="70" t="s">
        <v>134</v>
      </c>
      <c r="C53" s="71" t="str">
        <f>'Invetario de Tablas'!B9</f>
        <v>comentario</v>
      </c>
      <c r="D53" s="32"/>
      <c r="E53" s="32"/>
      <c r="F53" s="33"/>
      <c r="G53" s="70" t="s">
        <v>135</v>
      </c>
      <c r="H53" s="32"/>
      <c r="I53" s="32"/>
      <c r="J53" s="33"/>
      <c r="K53" s="81" t="str">
        <f>'Invetario de Tablas'!C9</f>
        <v>opinión de los integrantes de la red pascualina</v>
      </c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3"/>
      <c r="X53" s="73" t="s">
        <v>186</v>
      </c>
      <c r="Y53" s="74">
        <f>Y3</f>
        <v>46023</v>
      </c>
    </row>
    <row r="54" ht="45.75" customHeight="1">
      <c r="A54" s="75" t="s">
        <v>1</v>
      </c>
      <c r="B54" s="76" t="s">
        <v>187</v>
      </c>
      <c r="C54" s="78" t="s">
        <v>188</v>
      </c>
      <c r="D54" s="5"/>
      <c r="E54" s="5"/>
      <c r="F54" s="6"/>
      <c r="G54" s="78" t="s">
        <v>189</v>
      </c>
      <c r="H54" s="5"/>
      <c r="I54" s="5"/>
      <c r="J54" s="6"/>
      <c r="K54" s="78" t="s">
        <v>190</v>
      </c>
      <c r="L54" s="5"/>
      <c r="M54" s="5"/>
      <c r="N54" s="6"/>
      <c r="O54" s="78" t="s">
        <v>191</v>
      </c>
      <c r="P54" s="5"/>
      <c r="Q54" s="6"/>
      <c r="R54" s="78" t="s">
        <v>192</v>
      </c>
      <c r="S54" s="6"/>
      <c r="T54" s="78" t="s">
        <v>193</v>
      </c>
      <c r="U54" s="6"/>
      <c r="V54" s="78" t="s">
        <v>194</v>
      </c>
      <c r="W54" s="6"/>
      <c r="X54" s="78" t="s">
        <v>195</v>
      </c>
      <c r="Y54" s="40"/>
    </row>
    <row r="55" ht="45.75" customHeight="1">
      <c r="A55" s="79">
        <v>1.0</v>
      </c>
      <c r="B55" s="50" t="s">
        <v>246</v>
      </c>
      <c r="C55" s="51" t="s">
        <v>247</v>
      </c>
      <c r="D55" s="5"/>
      <c r="E55" s="5"/>
      <c r="F55" s="6"/>
      <c r="G55" s="52" t="s">
        <v>223</v>
      </c>
      <c r="H55" s="5"/>
      <c r="I55" s="5"/>
      <c r="J55" s="6"/>
      <c r="K55" s="52">
        <v>20.0</v>
      </c>
      <c r="L55" s="5"/>
      <c r="M55" s="5"/>
      <c r="N55" s="6"/>
      <c r="O55" s="52" t="s">
        <v>199</v>
      </c>
      <c r="P55" s="5"/>
      <c r="Q55" s="6"/>
      <c r="R55" s="54" t="s">
        <v>200</v>
      </c>
      <c r="S55" s="6"/>
      <c r="T55" s="53"/>
      <c r="U55" s="6"/>
      <c r="V55" s="53"/>
      <c r="W55" s="6"/>
      <c r="X55" s="53"/>
      <c r="Y55" s="6"/>
    </row>
    <row r="56" ht="45.75" customHeight="1">
      <c r="A56" s="79">
        <v>2.0</v>
      </c>
      <c r="B56" s="50" t="s">
        <v>248</v>
      </c>
      <c r="C56" s="51" t="s">
        <v>249</v>
      </c>
      <c r="D56" s="5"/>
      <c r="E56" s="5"/>
      <c r="F56" s="6"/>
      <c r="G56" s="52" t="s">
        <v>203</v>
      </c>
      <c r="H56" s="5"/>
      <c r="I56" s="5"/>
      <c r="J56" s="6"/>
      <c r="K56" s="52">
        <v>250.0</v>
      </c>
      <c r="L56" s="5"/>
      <c r="M56" s="5"/>
      <c r="N56" s="6"/>
      <c r="O56" s="52" t="s">
        <v>199</v>
      </c>
      <c r="P56" s="5"/>
      <c r="Q56" s="6"/>
      <c r="R56" s="53"/>
      <c r="S56" s="6"/>
      <c r="T56" s="53"/>
      <c r="U56" s="6"/>
      <c r="V56" s="53"/>
      <c r="W56" s="6"/>
      <c r="X56" s="53"/>
      <c r="Y56" s="6"/>
    </row>
    <row r="57" ht="45.75" customHeight="1">
      <c r="A57" s="79">
        <v>3.0</v>
      </c>
      <c r="B57" s="50" t="s">
        <v>250</v>
      </c>
      <c r="C57" s="51" t="s">
        <v>244</v>
      </c>
      <c r="D57" s="5"/>
      <c r="E57" s="5"/>
      <c r="F57" s="6"/>
      <c r="G57" s="52" t="s">
        <v>245</v>
      </c>
      <c r="H57" s="5"/>
      <c r="I57" s="5"/>
      <c r="J57" s="6"/>
      <c r="K57" s="52">
        <v>10.0</v>
      </c>
      <c r="L57" s="5"/>
      <c r="M57" s="5"/>
      <c r="N57" s="6"/>
      <c r="O57" s="52" t="s">
        <v>199</v>
      </c>
      <c r="P57" s="5"/>
      <c r="Q57" s="6"/>
      <c r="R57" s="53"/>
      <c r="S57" s="6"/>
      <c r="T57" s="53"/>
      <c r="U57" s="6"/>
      <c r="V57" s="53"/>
      <c r="W57" s="6"/>
      <c r="X57" s="53"/>
      <c r="Y57" s="6"/>
    </row>
    <row r="58" ht="45.75" customHeight="1">
      <c r="A58" s="79">
        <v>4.0</v>
      </c>
      <c r="B58" s="50" t="s">
        <v>251</v>
      </c>
      <c r="C58" s="51" t="s">
        <v>252</v>
      </c>
      <c r="D58" s="5"/>
      <c r="E58" s="5"/>
      <c r="F58" s="6"/>
      <c r="G58" s="52" t="s">
        <v>203</v>
      </c>
      <c r="H58" s="5"/>
      <c r="I58" s="5"/>
      <c r="J58" s="6"/>
      <c r="K58" s="52">
        <v>250.0</v>
      </c>
      <c r="L58" s="5"/>
      <c r="M58" s="5"/>
      <c r="N58" s="6"/>
      <c r="O58" s="52" t="s">
        <v>206</v>
      </c>
      <c r="P58" s="5"/>
      <c r="Q58" s="6"/>
      <c r="R58" s="53"/>
      <c r="S58" s="6"/>
      <c r="T58" s="53"/>
      <c r="U58" s="6"/>
      <c r="V58" s="53"/>
      <c r="W58" s="6"/>
      <c r="X58" s="53"/>
      <c r="Y58" s="6"/>
    </row>
    <row r="59" ht="45.75" customHeight="1">
      <c r="A59" s="79">
        <v>5.0</v>
      </c>
      <c r="B59" s="50" t="s">
        <v>253</v>
      </c>
      <c r="C59" s="51" t="s">
        <v>254</v>
      </c>
      <c r="D59" s="5"/>
      <c r="E59" s="5"/>
      <c r="F59" s="6"/>
      <c r="G59" s="52" t="s">
        <v>203</v>
      </c>
      <c r="H59" s="5"/>
      <c r="I59" s="5"/>
      <c r="J59" s="6"/>
      <c r="K59" s="52">
        <v>250.0</v>
      </c>
      <c r="L59" s="5"/>
      <c r="M59" s="5"/>
      <c r="N59" s="6"/>
      <c r="O59" s="52" t="s">
        <v>206</v>
      </c>
      <c r="P59" s="5"/>
      <c r="Q59" s="6"/>
      <c r="R59" s="53"/>
      <c r="S59" s="6"/>
      <c r="T59" s="53"/>
      <c r="U59" s="6"/>
      <c r="V59" s="53"/>
      <c r="W59" s="6"/>
      <c r="X59" s="53"/>
      <c r="Y59" s="6"/>
    </row>
    <row r="60" ht="45.75" customHeight="1">
      <c r="A60" s="49">
        <v>6.0</v>
      </c>
      <c r="B60" s="50" t="s">
        <v>237</v>
      </c>
      <c r="C60" s="51" t="s">
        <v>238</v>
      </c>
      <c r="D60" s="5"/>
      <c r="E60" s="5"/>
      <c r="F60" s="6"/>
      <c r="G60" s="52" t="s">
        <v>198</v>
      </c>
      <c r="H60" s="5"/>
      <c r="I60" s="5"/>
      <c r="J60" s="6"/>
      <c r="K60" s="52">
        <v>200.0</v>
      </c>
      <c r="L60" s="5"/>
      <c r="M60" s="5"/>
      <c r="N60" s="6"/>
      <c r="O60" s="52" t="s">
        <v>199</v>
      </c>
      <c r="P60" s="5"/>
      <c r="Q60" s="6"/>
      <c r="R60" s="53"/>
      <c r="S60" s="6"/>
      <c r="T60" s="54" t="s">
        <v>200</v>
      </c>
      <c r="U60" s="6"/>
      <c r="V60" s="53"/>
      <c r="W60" s="6"/>
      <c r="X60" s="53"/>
      <c r="Y60" s="6"/>
    </row>
    <row r="61" ht="45.75" customHeight="1">
      <c r="A61" s="49">
        <v>7.0</v>
      </c>
      <c r="B61" s="50" t="s">
        <v>255</v>
      </c>
      <c r="C61" s="51" t="s">
        <v>256</v>
      </c>
      <c r="D61" s="5"/>
      <c r="E61" s="5"/>
      <c r="F61" s="6"/>
      <c r="G61" s="52" t="s">
        <v>198</v>
      </c>
      <c r="H61" s="5"/>
      <c r="I61" s="5"/>
      <c r="J61" s="6"/>
      <c r="K61" s="52">
        <v>200.0</v>
      </c>
      <c r="L61" s="5"/>
      <c r="M61" s="5"/>
      <c r="N61" s="6"/>
      <c r="O61" s="52" t="s">
        <v>199</v>
      </c>
      <c r="P61" s="5"/>
      <c r="Q61" s="6"/>
      <c r="R61" s="53"/>
      <c r="S61" s="6"/>
      <c r="T61" s="54" t="s">
        <v>200</v>
      </c>
      <c r="U61" s="6"/>
      <c r="V61" s="53"/>
      <c r="W61" s="6"/>
      <c r="X61" s="53"/>
      <c r="Y61" s="6"/>
    </row>
    <row r="62" ht="45.75" customHeight="1">
      <c r="A62" s="49">
        <v>8.0</v>
      </c>
      <c r="B62" s="50" t="s">
        <v>196</v>
      </c>
      <c r="C62" s="51" t="s">
        <v>197</v>
      </c>
      <c r="D62" s="5"/>
      <c r="E62" s="5"/>
      <c r="F62" s="6"/>
      <c r="G62" s="80" t="s">
        <v>198</v>
      </c>
      <c r="H62" s="5"/>
      <c r="I62" s="5"/>
      <c r="J62" s="6"/>
      <c r="K62" s="52">
        <v>15.0</v>
      </c>
      <c r="L62" s="5"/>
      <c r="M62" s="5"/>
      <c r="N62" s="6"/>
      <c r="O62" s="52" t="s">
        <v>199</v>
      </c>
      <c r="P62" s="5"/>
      <c r="Q62" s="6"/>
      <c r="R62" s="53"/>
      <c r="S62" s="6"/>
      <c r="T62" s="54" t="s">
        <v>200</v>
      </c>
      <c r="U62" s="6"/>
      <c r="V62" s="53"/>
      <c r="W62" s="6"/>
      <c r="X62" s="53"/>
      <c r="Y62" s="6"/>
    </row>
    <row r="63" ht="45.75" customHeight="1"/>
    <row r="64" ht="45.75" customHeight="1"/>
    <row r="65" ht="45.75" customHeight="1">
      <c r="A65" s="63">
        <v>7.0</v>
      </c>
      <c r="B65" s="70" t="s">
        <v>134</v>
      </c>
      <c r="C65" s="71" t="str">
        <f>'Invetario de Tablas'!B10</f>
        <v>grupo</v>
      </c>
      <c r="D65" s="32"/>
      <c r="E65" s="32"/>
      <c r="F65" s="33"/>
      <c r="G65" s="70" t="s">
        <v>135</v>
      </c>
      <c r="H65" s="32"/>
      <c r="I65" s="32"/>
      <c r="J65" s="33"/>
      <c r="K65" s="81" t="str">
        <f>'Invetario de Tablas'!C10</f>
        <v>interaccion de un grupo</v>
      </c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3"/>
      <c r="X65" s="73" t="s">
        <v>186</v>
      </c>
      <c r="Y65" s="74">
        <f>Y3</f>
        <v>46023</v>
      </c>
    </row>
    <row r="66" ht="45.75" customHeight="1">
      <c r="A66" s="75" t="s">
        <v>1</v>
      </c>
      <c r="B66" s="76" t="s">
        <v>187</v>
      </c>
      <c r="C66" s="78" t="s">
        <v>188</v>
      </c>
      <c r="D66" s="5"/>
      <c r="E66" s="5"/>
      <c r="F66" s="6"/>
      <c r="G66" s="78" t="s">
        <v>189</v>
      </c>
      <c r="H66" s="5"/>
      <c r="I66" s="5"/>
      <c r="J66" s="6"/>
      <c r="K66" s="78" t="s">
        <v>190</v>
      </c>
      <c r="L66" s="5"/>
      <c r="M66" s="5"/>
      <c r="N66" s="6"/>
      <c r="O66" s="78" t="s">
        <v>191</v>
      </c>
      <c r="P66" s="5"/>
      <c r="Q66" s="6"/>
      <c r="R66" s="78" t="s">
        <v>192</v>
      </c>
      <c r="S66" s="6"/>
      <c r="T66" s="78" t="s">
        <v>193</v>
      </c>
      <c r="U66" s="6"/>
      <c r="V66" s="78" t="s">
        <v>194</v>
      </c>
      <c r="W66" s="6"/>
      <c r="X66" s="78" t="s">
        <v>195</v>
      </c>
      <c r="Y66" s="40"/>
    </row>
    <row r="67" ht="45.75" customHeight="1">
      <c r="A67" s="79">
        <v>1.0</v>
      </c>
      <c r="B67" s="82" t="s">
        <v>257</v>
      </c>
      <c r="C67" s="51" t="s">
        <v>258</v>
      </c>
      <c r="D67" s="5"/>
      <c r="E67" s="5"/>
      <c r="F67" s="6"/>
      <c r="G67" s="52" t="s">
        <v>223</v>
      </c>
      <c r="H67" s="5"/>
      <c r="I67" s="5"/>
      <c r="J67" s="6"/>
      <c r="K67" s="52">
        <v>5.0</v>
      </c>
      <c r="L67" s="5"/>
      <c r="M67" s="5"/>
      <c r="N67" s="6"/>
      <c r="O67" s="52" t="s">
        <v>199</v>
      </c>
      <c r="P67" s="5"/>
      <c r="Q67" s="6"/>
      <c r="R67" s="54" t="s">
        <v>200</v>
      </c>
      <c r="S67" s="6"/>
      <c r="T67" s="53"/>
      <c r="U67" s="6"/>
      <c r="V67" s="53"/>
      <c r="W67" s="6"/>
      <c r="X67" s="53"/>
      <c r="Y67" s="6"/>
    </row>
    <row r="68" ht="45.75" customHeight="1">
      <c r="A68" s="79">
        <v>2.0</v>
      </c>
      <c r="B68" s="82" t="s">
        <v>259</v>
      </c>
      <c r="C68" s="51" t="s">
        <v>260</v>
      </c>
      <c r="D68" s="5"/>
      <c r="E68" s="5"/>
      <c r="F68" s="6"/>
      <c r="G68" s="52" t="s">
        <v>203</v>
      </c>
      <c r="H68" s="5"/>
      <c r="I68" s="5"/>
      <c r="J68" s="6"/>
      <c r="K68" s="52">
        <v>30.0</v>
      </c>
      <c r="L68" s="5"/>
      <c r="M68" s="5"/>
      <c r="N68" s="6"/>
      <c r="O68" s="52" t="s">
        <v>199</v>
      </c>
      <c r="P68" s="5"/>
      <c r="Q68" s="6"/>
      <c r="R68" s="53"/>
      <c r="S68" s="6"/>
      <c r="T68" s="53"/>
      <c r="U68" s="6"/>
      <c r="V68" s="53"/>
      <c r="W68" s="6"/>
      <c r="X68" s="53"/>
      <c r="Y68" s="6"/>
    </row>
    <row r="69" ht="45.75" customHeight="1">
      <c r="A69" s="79">
        <v>3.0</v>
      </c>
      <c r="B69" s="82" t="s">
        <v>261</v>
      </c>
      <c r="C69" s="51" t="s">
        <v>262</v>
      </c>
      <c r="D69" s="5"/>
      <c r="E69" s="5"/>
      <c r="F69" s="6"/>
      <c r="G69" s="52" t="s">
        <v>203</v>
      </c>
      <c r="H69" s="5"/>
      <c r="I69" s="5"/>
      <c r="J69" s="6"/>
      <c r="K69" s="52">
        <v>250.0</v>
      </c>
      <c r="L69" s="5"/>
      <c r="M69" s="5"/>
      <c r="N69" s="6"/>
      <c r="O69" s="52" t="s">
        <v>206</v>
      </c>
      <c r="P69" s="5"/>
      <c r="Q69" s="6"/>
      <c r="R69" s="53"/>
      <c r="S69" s="6"/>
      <c r="T69" s="53"/>
      <c r="U69" s="6"/>
      <c r="V69" s="53"/>
      <c r="W69" s="6"/>
      <c r="X69" s="53"/>
      <c r="Y69" s="6"/>
    </row>
    <row r="70" ht="45.75" customHeight="1">
      <c r="A70" s="79">
        <v>4.0</v>
      </c>
      <c r="B70" s="82" t="s">
        <v>263</v>
      </c>
      <c r="C70" s="51" t="s">
        <v>264</v>
      </c>
      <c r="D70" s="5"/>
      <c r="E70" s="5"/>
      <c r="F70" s="6"/>
      <c r="G70" s="52" t="s">
        <v>203</v>
      </c>
      <c r="H70" s="5"/>
      <c r="I70" s="5"/>
      <c r="J70" s="6"/>
      <c r="K70" s="52">
        <v>20.0</v>
      </c>
      <c r="L70" s="5"/>
      <c r="M70" s="5"/>
      <c r="N70" s="6"/>
      <c r="O70" s="52" t="s">
        <v>206</v>
      </c>
      <c r="P70" s="5"/>
      <c r="Q70" s="6"/>
      <c r="R70" s="53"/>
      <c r="S70" s="6"/>
      <c r="T70" s="53"/>
      <c r="U70" s="6"/>
      <c r="V70" s="53"/>
      <c r="W70" s="6"/>
      <c r="X70" s="53"/>
      <c r="Y70" s="6"/>
    </row>
    <row r="71" ht="45.75" customHeight="1">
      <c r="A71" s="83"/>
      <c r="B71" s="84"/>
      <c r="C71" s="84"/>
      <c r="G71" s="84"/>
      <c r="K71" s="84"/>
      <c r="O71" s="84"/>
      <c r="R71" s="84"/>
      <c r="T71" s="84"/>
      <c r="V71" s="84"/>
      <c r="X71" s="84"/>
    </row>
    <row r="72" ht="45.75" customHeight="1"/>
    <row r="73" ht="45.75" customHeight="1"/>
    <row r="74" ht="45.75" customHeight="1"/>
    <row r="75" ht="45.75" customHeight="1"/>
    <row r="76" ht="45.75" customHeight="1"/>
    <row r="77" ht="45.75" customHeight="1">
      <c r="A77" s="63">
        <v>8.0</v>
      </c>
      <c r="B77" s="70" t="s">
        <v>134</v>
      </c>
      <c r="C77" s="71" t="str">
        <f>'Invetario de Tablas'!B11</f>
        <v>tipo_servicio</v>
      </c>
      <c r="D77" s="32"/>
      <c r="E77" s="32"/>
      <c r="F77" s="33"/>
      <c r="G77" s="70" t="s">
        <v>135</v>
      </c>
      <c r="H77" s="32"/>
      <c r="I77" s="32"/>
      <c r="J77" s="33"/>
      <c r="K77" s="81" t="str">
        <f>'Invetario de Tablas'!C11</f>
        <v>tipos de asistencias que se brindan a los usuarios</v>
      </c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3"/>
      <c r="X77" s="73" t="s">
        <v>186</v>
      </c>
      <c r="Y77" s="74">
        <f>Y3</f>
        <v>46023</v>
      </c>
    </row>
    <row r="78" ht="45.75" customHeight="1">
      <c r="A78" s="75" t="s">
        <v>1</v>
      </c>
      <c r="B78" s="76" t="s">
        <v>187</v>
      </c>
      <c r="C78" s="78" t="s">
        <v>188</v>
      </c>
      <c r="D78" s="5"/>
      <c r="E78" s="5"/>
      <c r="F78" s="6"/>
      <c r="G78" s="78" t="s">
        <v>189</v>
      </c>
      <c r="H78" s="5"/>
      <c r="I78" s="5"/>
      <c r="J78" s="6"/>
      <c r="K78" s="78" t="s">
        <v>190</v>
      </c>
      <c r="L78" s="5"/>
      <c r="M78" s="5"/>
      <c r="N78" s="6"/>
      <c r="O78" s="78" t="s">
        <v>191</v>
      </c>
      <c r="P78" s="5"/>
      <c r="Q78" s="6"/>
      <c r="R78" s="78" t="s">
        <v>192</v>
      </c>
      <c r="S78" s="6"/>
      <c r="T78" s="78" t="s">
        <v>193</v>
      </c>
      <c r="U78" s="6"/>
      <c r="V78" s="78" t="s">
        <v>194</v>
      </c>
      <c r="W78" s="6"/>
      <c r="X78" s="78" t="s">
        <v>195</v>
      </c>
      <c r="Y78" s="40"/>
    </row>
    <row r="79" ht="45.75" customHeight="1">
      <c r="A79" s="79">
        <v>1.0</v>
      </c>
      <c r="B79" s="50" t="s">
        <v>265</v>
      </c>
      <c r="C79" s="51" t="s">
        <v>266</v>
      </c>
      <c r="D79" s="5"/>
      <c r="E79" s="5"/>
      <c r="F79" s="6"/>
      <c r="G79" s="52" t="s">
        <v>223</v>
      </c>
      <c r="H79" s="5"/>
      <c r="I79" s="5"/>
      <c r="J79" s="6"/>
      <c r="K79" s="52">
        <v>5.0</v>
      </c>
      <c r="L79" s="5"/>
      <c r="M79" s="5"/>
      <c r="N79" s="6"/>
      <c r="O79" s="52" t="s">
        <v>199</v>
      </c>
      <c r="P79" s="5"/>
      <c r="Q79" s="6"/>
      <c r="R79" s="54" t="s">
        <v>200</v>
      </c>
      <c r="S79" s="6"/>
      <c r="T79" s="53"/>
      <c r="U79" s="6"/>
      <c r="V79" s="53"/>
      <c r="W79" s="6"/>
      <c r="X79" s="51" t="s">
        <v>228</v>
      </c>
      <c r="Y79" s="6"/>
    </row>
    <row r="80" ht="45.75" customHeight="1">
      <c r="A80" s="79">
        <v>2.0</v>
      </c>
      <c r="B80" s="50" t="s">
        <v>267</v>
      </c>
      <c r="C80" s="51" t="s">
        <v>268</v>
      </c>
      <c r="D80" s="5"/>
      <c r="E80" s="5"/>
      <c r="F80" s="6"/>
      <c r="G80" s="52" t="s">
        <v>203</v>
      </c>
      <c r="H80" s="5"/>
      <c r="I80" s="5"/>
      <c r="J80" s="6"/>
      <c r="K80" s="52">
        <v>50.0</v>
      </c>
      <c r="L80" s="5"/>
      <c r="M80" s="5"/>
      <c r="N80" s="6"/>
      <c r="O80" s="52" t="s">
        <v>199</v>
      </c>
      <c r="P80" s="5"/>
      <c r="Q80" s="6"/>
      <c r="R80" s="53"/>
      <c r="S80" s="6"/>
      <c r="T80" s="53"/>
      <c r="U80" s="6"/>
      <c r="V80" s="53"/>
      <c r="W80" s="6"/>
      <c r="X80" s="53"/>
      <c r="Y80" s="6"/>
    </row>
    <row r="81" ht="45.75" customHeight="1">
      <c r="A81" s="83"/>
      <c r="B81" s="84"/>
      <c r="C81" s="84"/>
      <c r="G81" s="84"/>
      <c r="K81" s="84"/>
      <c r="O81" s="84"/>
      <c r="R81" s="84"/>
      <c r="T81" s="84"/>
      <c r="V81" s="84"/>
      <c r="X81" s="84"/>
    </row>
    <row r="82" ht="45.75" customHeight="1">
      <c r="A82" s="83"/>
      <c r="B82" s="84"/>
      <c r="C82" s="84"/>
      <c r="G82" s="84"/>
      <c r="K82" s="84"/>
      <c r="O82" s="84"/>
      <c r="R82" s="84"/>
      <c r="T82" s="84"/>
      <c r="V82" s="84"/>
      <c r="X82" s="84"/>
    </row>
    <row r="83" ht="45.75" customHeight="1">
      <c r="A83" s="83"/>
      <c r="B83" s="84"/>
      <c r="C83" s="84"/>
      <c r="G83" s="84"/>
      <c r="K83" s="84"/>
      <c r="O83" s="84"/>
      <c r="R83" s="84"/>
      <c r="T83" s="84"/>
      <c r="V83" s="84"/>
      <c r="X83" s="84"/>
    </row>
    <row r="84" ht="45.75" customHeight="1"/>
    <row r="85" ht="45.75" customHeight="1"/>
    <row r="86" ht="45.75" customHeight="1"/>
    <row r="87" ht="45.75" customHeight="1"/>
    <row r="88" ht="45.75" customHeight="1"/>
    <row r="89" ht="45.75" customHeight="1">
      <c r="A89" s="63">
        <v>9.0</v>
      </c>
      <c r="B89" s="70" t="s">
        <v>134</v>
      </c>
      <c r="C89" s="71" t="str">
        <f>'Invetario de Tablas'!B12</f>
        <v>servicio</v>
      </c>
      <c r="D89" s="32"/>
      <c r="E89" s="32"/>
      <c r="F89" s="33"/>
      <c r="G89" s="70" t="s">
        <v>135</v>
      </c>
      <c r="H89" s="32"/>
      <c r="I89" s="32"/>
      <c r="J89" s="33"/>
      <c r="K89" s="81" t="str">
        <f>'Invetario de Tablas'!C12</f>
        <v>asistencia en la necesidad que puedan tener los usuarios</v>
      </c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3"/>
      <c r="X89" s="73" t="s">
        <v>186</v>
      </c>
      <c r="Y89" s="74">
        <f>Y3</f>
        <v>46023</v>
      </c>
    </row>
    <row r="90" ht="45.75" customHeight="1">
      <c r="A90" s="75" t="s">
        <v>1</v>
      </c>
      <c r="B90" s="76" t="s">
        <v>187</v>
      </c>
      <c r="C90" s="78" t="s">
        <v>188</v>
      </c>
      <c r="D90" s="5"/>
      <c r="E90" s="5"/>
      <c r="F90" s="6"/>
      <c r="G90" s="78" t="s">
        <v>189</v>
      </c>
      <c r="H90" s="5"/>
      <c r="I90" s="5"/>
      <c r="J90" s="6"/>
      <c r="K90" s="78" t="s">
        <v>190</v>
      </c>
      <c r="L90" s="5"/>
      <c r="M90" s="5"/>
      <c r="N90" s="6"/>
      <c r="O90" s="78" t="s">
        <v>191</v>
      </c>
      <c r="P90" s="5"/>
      <c r="Q90" s="6"/>
      <c r="R90" s="78" t="s">
        <v>192</v>
      </c>
      <c r="S90" s="6"/>
      <c r="T90" s="78" t="s">
        <v>193</v>
      </c>
      <c r="U90" s="6"/>
      <c r="V90" s="78" t="s">
        <v>194</v>
      </c>
      <c r="W90" s="6"/>
      <c r="X90" s="78" t="s">
        <v>195</v>
      </c>
      <c r="Y90" s="40"/>
    </row>
    <row r="91" ht="45.75" customHeight="1">
      <c r="A91" s="79">
        <v>1.0</v>
      </c>
      <c r="B91" s="50" t="s">
        <v>265</v>
      </c>
      <c r="C91" s="51" t="s">
        <v>269</v>
      </c>
      <c r="D91" s="5"/>
      <c r="E91" s="5"/>
      <c r="F91" s="6"/>
      <c r="G91" s="52" t="s">
        <v>198</v>
      </c>
      <c r="H91" s="5"/>
      <c r="I91" s="5"/>
      <c r="J91" s="6"/>
      <c r="K91" s="52">
        <v>5.0</v>
      </c>
      <c r="L91" s="5"/>
      <c r="M91" s="5"/>
      <c r="N91" s="6"/>
      <c r="O91" s="52" t="s">
        <v>199</v>
      </c>
      <c r="P91" s="5"/>
      <c r="Q91" s="6"/>
      <c r="R91" s="53"/>
      <c r="S91" s="6"/>
      <c r="T91" s="54" t="s">
        <v>200</v>
      </c>
      <c r="U91" s="6"/>
      <c r="V91" s="53"/>
      <c r="W91" s="6"/>
      <c r="X91" s="53"/>
      <c r="Y91" s="6"/>
    </row>
    <row r="92" ht="45.75" customHeight="1">
      <c r="A92" s="85">
        <v>2.0</v>
      </c>
      <c r="B92" s="86" t="s">
        <v>196</v>
      </c>
      <c r="C92" s="87" t="s">
        <v>270</v>
      </c>
      <c r="D92" s="88"/>
      <c r="E92" s="88"/>
      <c r="F92" s="89"/>
      <c r="G92" s="80" t="s">
        <v>198</v>
      </c>
      <c r="H92" s="5"/>
      <c r="I92" s="5"/>
      <c r="J92" s="6"/>
      <c r="K92" s="90">
        <v>15.0</v>
      </c>
      <c r="L92" s="88"/>
      <c r="M92" s="88"/>
      <c r="N92" s="89"/>
      <c r="O92" s="90" t="s">
        <v>199</v>
      </c>
      <c r="P92" s="88"/>
      <c r="Q92" s="89"/>
      <c r="R92" s="91"/>
      <c r="S92" s="89"/>
      <c r="T92" s="92" t="s">
        <v>200</v>
      </c>
      <c r="U92" s="89"/>
      <c r="V92" s="91"/>
      <c r="W92" s="89"/>
      <c r="X92" s="91"/>
      <c r="Y92" s="89"/>
    </row>
    <row r="93" ht="45.75" customHeight="1">
      <c r="A93" s="79">
        <v>3.0</v>
      </c>
      <c r="B93" s="50" t="s">
        <v>271</v>
      </c>
      <c r="C93" s="51" t="s">
        <v>272</v>
      </c>
      <c r="D93" s="5"/>
      <c r="E93" s="5"/>
      <c r="F93" s="6"/>
      <c r="G93" s="52" t="s">
        <v>223</v>
      </c>
      <c r="H93" s="5"/>
      <c r="I93" s="5"/>
      <c r="J93" s="6"/>
      <c r="K93" s="52">
        <v>10.0</v>
      </c>
      <c r="L93" s="5"/>
      <c r="M93" s="5"/>
      <c r="N93" s="6"/>
      <c r="O93" s="52" t="s">
        <v>199</v>
      </c>
      <c r="P93" s="5"/>
      <c r="Q93" s="6"/>
      <c r="R93" s="54" t="s">
        <v>200</v>
      </c>
      <c r="S93" s="6"/>
      <c r="T93" s="53"/>
      <c r="U93" s="6"/>
      <c r="V93" s="53"/>
      <c r="W93" s="6"/>
      <c r="X93" s="53"/>
      <c r="Y93" s="6"/>
    </row>
    <row r="94" ht="45.75" customHeight="1">
      <c r="A94" s="83"/>
      <c r="B94" s="84"/>
      <c r="C94" s="84"/>
      <c r="G94" s="84"/>
      <c r="K94" s="84"/>
      <c r="O94" s="84"/>
      <c r="R94" s="84"/>
      <c r="T94" s="84"/>
      <c r="V94" s="84"/>
      <c r="X94" s="84"/>
    </row>
    <row r="95" ht="45.75" customHeight="1">
      <c r="A95" s="83"/>
      <c r="B95" s="84"/>
      <c r="C95" s="84"/>
      <c r="G95" s="84"/>
      <c r="K95" s="84"/>
      <c r="O95" s="84"/>
      <c r="R95" s="84"/>
      <c r="T95" s="84"/>
      <c r="V95" s="84"/>
      <c r="X95" s="84"/>
    </row>
    <row r="96" ht="45.75" customHeight="1"/>
    <row r="97" ht="45.75" customHeight="1"/>
    <row r="98" ht="45.75" customHeight="1"/>
    <row r="99" ht="45.75" customHeight="1"/>
    <row r="100" ht="45.75" customHeight="1"/>
    <row r="101" ht="45.75" customHeight="1">
      <c r="A101" s="63">
        <v>10.0</v>
      </c>
      <c r="B101" s="70" t="s">
        <v>134</v>
      </c>
      <c r="C101" s="71" t="str">
        <f>'Invetario de Tablas'!B13</f>
        <v>tipo_producto</v>
      </c>
      <c r="D101" s="32"/>
      <c r="E101" s="32"/>
      <c r="F101" s="33"/>
      <c r="G101" s="70" t="s">
        <v>135</v>
      </c>
      <c r="H101" s="32"/>
      <c r="I101" s="32"/>
      <c r="J101" s="33"/>
      <c r="K101" s="81" t="str">
        <f>'Invetario de Tablas'!C13</f>
        <v>interaccion de un tipo de producto</v>
      </c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3"/>
      <c r="X101" s="73" t="s">
        <v>186</v>
      </c>
      <c r="Y101" s="93">
        <f>Y3</f>
        <v>46023</v>
      </c>
    </row>
    <row r="102" ht="45.75" customHeight="1">
      <c r="A102" s="75" t="s">
        <v>1</v>
      </c>
      <c r="B102" s="76" t="s">
        <v>187</v>
      </c>
      <c r="C102" s="78" t="s">
        <v>188</v>
      </c>
      <c r="D102" s="5"/>
      <c r="E102" s="5"/>
      <c r="F102" s="6"/>
      <c r="G102" s="78" t="s">
        <v>189</v>
      </c>
      <c r="H102" s="5"/>
      <c r="I102" s="5"/>
      <c r="J102" s="6"/>
      <c r="K102" s="78" t="s">
        <v>190</v>
      </c>
      <c r="L102" s="5"/>
      <c r="M102" s="5"/>
      <c r="N102" s="6"/>
      <c r="O102" s="78" t="s">
        <v>191</v>
      </c>
      <c r="P102" s="5"/>
      <c r="Q102" s="6"/>
      <c r="R102" s="78" t="s">
        <v>192</v>
      </c>
      <c r="S102" s="6"/>
      <c r="T102" s="78" t="s">
        <v>193</v>
      </c>
      <c r="U102" s="6"/>
      <c r="V102" s="78" t="s">
        <v>194</v>
      </c>
      <c r="W102" s="6"/>
      <c r="X102" s="78" t="s">
        <v>195</v>
      </c>
      <c r="Y102" s="40"/>
    </row>
    <row r="103" ht="45.75" customHeight="1">
      <c r="A103" s="79">
        <v>1.0</v>
      </c>
      <c r="B103" s="50" t="s">
        <v>273</v>
      </c>
      <c r="C103" s="51" t="s">
        <v>274</v>
      </c>
      <c r="D103" s="5"/>
      <c r="E103" s="5"/>
      <c r="F103" s="6"/>
      <c r="G103" s="52" t="s">
        <v>223</v>
      </c>
      <c r="H103" s="5"/>
      <c r="I103" s="5"/>
      <c r="J103" s="6"/>
      <c r="K103" s="52">
        <v>5.0</v>
      </c>
      <c r="L103" s="5"/>
      <c r="M103" s="5"/>
      <c r="N103" s="6"/>
      <c r="O103" s="52" t="s">
        <v>199</v>
      </c>
      <c r="P103" s="5"/>
      <c r="Q103" s="6"/>
      <c r="R103" s="54" t="s">
        <v>200</v>
      </c>
      <c r="S103" s="6"/>
      <c r="T103" s="53"/>
      <c r="U103" s="6"/>
      <c r="V103" s="53"/>
      <c r="W103" s="6"/>
      <c r="X103" s="53"/>
      <c r="Y103" s="6"/>
    </row>
    <row r="104" ht="45.75" customHeight="1">
      <c r="A104" s="79">
        <v>2.0</v>
      </c>
      <c r="B104" s="50" t="s">
        <v>275</v>
      </c>
      <c r="C104" s="51" t="s">
        <v>276</v>
      </c>
      <c r="D104" s="5"/>
      <c r="E104" s="5"/>
      <c r="F104" s="6"/>
      <c r="G104" s="52" t="s">
        <v>203</v>
      </c>
      <c r="H104" s="5"/>
      <c r="I104" s="5"/>
      <c r="J104" s="6"/>
      <c r="K104" s="52">
        <v>50.0</v>
      </c>
      <c r="L104" s="5"/>
      <c r="M104" s="5"/>
      <c r="N104" s="6"/>
      <c r="O104" s="52" t="s">
        <v>199</v>
      </c>
      <c r="P104" s="5"/>
      <c r="Q104" s="6"/>
      <c r="R104" s="53"/>
      <c r="S104" s="6"/>
      <c r="T104" s="53"/>
      <c r="U104" s="6"/>
      <c r="V104" s="53"/>
      <c r="W104" s="6"/>
      <c r="X104" s="53"/>
      <c r="Y104" s="6"/>
    </row>
    <row r="105" ht="45.75" customHeight="1">
      <c r="A105" s="83"/>
      <c r="B105" s="84"/>
      <c r="C105" s="84"/>
      <c r="G105" s="84"/>
      <c r="K105" s="84"/>
      <c r="O105" s="84"/>
      <c r="R105" s="84"/>
      <c r="T105" s="84"/>
      <c r="V105" s="84"/>
      <c r="X105" s="84"/>
    </row>
    <row r="106" ht="45.75" customHeight="1">
      <c r="A106" s="83"/>
      <c r="B106" s="84"/>
      <c r="C106" s="84"/>
      <c r="G106" s="84"/>
      <c r="K106" s="84"/>
      <c r="O106" s="84"/>
      <c r="R106" s="84"/>
      <c r="T106" s="84"/>
      <c r="V106" s="84"/>
      <c r="X106" s="84"/>
    </row>
    <row r="107" ht="45.75" customHeight="1">
      <c r="A107" s="83"/>
      <c r="B107" s="84"/>
      <c r="C107" s="84"/>
      <c r="G107" s="84"/>
      <c r="K107" s="84"/>
      <c r="O107" s="84"/>
      <c r="R107" s="84"/>
      <c r="T107" s="84"/>
      <c r="V107" s="84"/>
      <c r="X107" s="84"/>
    </row>
    <row r="108" ht="45.75" customHeight="1"/>
    <row r="109" ht="45.75" customHeight="1"/>
    <row r="110" ht="45.75" customHeight="1"/>
    <row r="111" ht="45.75" customHeight="1"/>
    <row r="112" ht="45.75" customHeight="1"/>
    <row r="113" ht="45.75" customHeight="1">
      <c r="A113" s="63">
        <v>11.0</v>
      </c>
      <c r="B113" s="70" t="s">
        <v>134</v>
      </c>
      <c r="C113" s="71" t="str">
        <f>'Invetario de Tablas'!B14</f>
        <v>producto</v>
      </c>
      <c r="D113" s="32"/>
      <c r="E113" s="32"/>
      <c r="F113" s="33"/>
      <c r="G113" s="70" t="s">
        <v>135</v>
      </c>
      <c r="H113" s="32"/>
      <c r="I113" s="32"/>
      <c r="J113" s="33"/>
      <c r="K113" s="81" t="str">
        <f>'Invetario de Tablas'!C14</f>
        <v>artículos disponibles en la plataforma</v>
      </c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3"/>
      <c r="X113" s="73" t="s">
        <v>186</v>
      </c>
      <c r="Y113" s="74">
        <f>Y3</f>
        <v>46023</v>
      </c>
    </row>
    <row r="114" ht="45.75" customHeight="1">
      <c r="A114" s="75" t="s">
        <v>1</v>
      </c>
      <c r="B114" s="76" t="s">
        <v>187</v>
      </c>
      <c r="C114" s="78" t="s">
        <v>188</v>
      </c>
      <c r="D114" s="5"/>
      <c r="E114" s="5"/>
      <c r="F114" s="6"/>
      <c r="G114" s="78" t="s">
        <v>189</v>
      </c>
      <c r="H114" s="5"/>
      <c r="I114" s="5"/>
      <c r="J114" s="6"/>
      <c r="K114" s="78" t="s">
        <v>190</v>
      </c>
      <c r="L114" s="5"/>
      <c r="M114" s="5"/>
      <c r="N114" s="6"/>
      <c r="O114" s="78" t="s">
        <v>191</v>
      </c>
      <c r="P114" s="5"/>
      <c r="Q114" s="6"/>
      <c r="R114" s="78" t="s">
        <v>192</v>
      </c>
      <c r="S114" s="6"/>
      <c r="T114" s="78" t="s">
        <v>193</v>
      </c>
      <c r="U114" s="6"/>
      <c r="V114" s="78" t="s">
        <v>194</v>
      </c>
      <c r="W114" s="6"/>
      <c r="X114" s="78" t="s">
        <v>195</v>
      </c>
      <c r="Y114" s="40"/>
    </row>
    <row r="115" ht="45.75" customHeight="1">
      <c r="A115" s="79">
        <v>1.0</v>
      </c>
      <c r="B115" s="50" t="s">
        <v>277</v>
      </c>
      <c r="C115" s="51" t="s">
        <v>278</v>
      </c>
      <c r="D115" s="5"/>
      <c r="E115" s="5"/>
      <c r="F115" s="6"/>
      <c r="G115" s="52" t="s">
        <v>203</v>
      </c>
      <c r="H115" s="5"/>
      <c r="I115" s="5"/>
      <c r="J115" s="6"/>
      <c r="K115" s="52">
        <v>80.0</v>
      </c>
      <c r="L115" s="5"/>
      <c r="M115" s="5"/>
      <c r="N115" s="6"/>
      <c r="O115" s="52" t="s">
        <v>199</v>
      </c>
      <c r="P115" s="5"/>
      <c r="Q115" s="6"/>
      <c r="R115" s="53"/>
      <c r="S115" s="6"/>
      <c r="T115" s="53"/>
      <c r="U115" s="6"/>
      <c r="V115" s="53"/>
      <c r="W115" s="6"/>
      <c r="X115" s="53"/>
      <c r="Y115" s="6"/>
    </row>
    <row r="116" ht="45.75" customHeight="1">
      <c r="A116" s="79">
        <v>2.0</v>
      </c>
      <c r="B116" s="50" t="s">
        <v>279</v>
      </c>
      <c r="C116" s="51" t="s">
        <v>280</v>
      </c>
      <c r="D116" s="5"/>
      <c r="E116" s="5"/>
      <c r="F116" s="6"/>
      <c r="G116" s="80" t="s">
        <v>281</v>
      </c>
      <c r="H116" s="5"/>
      <c r="I116" s="5"/>
      <c r="J116" s="6"/>
      <c r="K116" s="52">
        <v>10.2</v>
      </c>
      <c r="L116" s="5"/>
      <c r="M116" s="5"/>
      <c r="N116" s="6"/>
      <c r="O116" s="52" t="s">
        <v>199</v>
      </c>
      <c r="P116" s="5"/>
      <c r="Q116" s="6"/>
      <c r="R116" s="53"/>
      <c r="S116" s="6"/>
      <c r="T116" s="53"/>
      <c r="U116" s="6"/>
      <c r="V116" s="53"/>
      <c r="W116" s="6"/>
      <c r="X116" s="53"/>
      <c r="Y116" s="6"/>
    </row>
    <row r="117" ht="45.75" customHeight="1">
      <c r="A117" s="79">
        <v>3.0</v>
      </c>
      <c r="B117" s="50" t="s">
        <v>273</v>
      </c>
      <c r="C117" s="51" t="s">
        <v>282</v>
      </c>
      <c r="D117" s="5"/>
      <c r="E117" s="5"/>
      <c r="F117" s="6"/>
      <c r="G117" s="80" t="s">
        <v>198</v>
      </c>
      <c r="H117" s="5"/>
      <c r="I117" s="5"/>
      <c r="J117" s="6"/>
      <c r="K117" s="52">
        <v>5.0</v>
      </c>
      <c r="L117" s="5"/>
      <c r="M117" s="5"/>
      <c r="N117" s="6"/>
      <c r="O117" s="52" t="s">
        <v>199</v>
      </c>
      <c r="P117" s="5"/>
      <c r="Q117" s="6"/>
      <c r="R117" s="53"/>
      <c r="S117" s="6"/>
      <c r="T117" s="54" t="s">
        <v>200</v>
      </c>
      <c r="U117" s="6"/>
      <c r="V117" s="53"/>
      <c r="W117" s="6"/>
      <c r="X117" s="53"/>
      <c r="Y117" s="6"/>
    </row>
    <row r="118" ht="45.75" customHeight="1">
      <c r="A118" s="79">
        <v>4.0</v>
      </c>
      <c r="B118" s="50" t="s">
        <v>283</v>
      </c>
      <c r="C118" s="51" t="s">
        <v>284</v>
      </c>
      <c r="D118" s="5"/>
      <c r="E118" s="5"/>
      <c r="F118" s="6"/>
      <c r="G118" s="52" t="s">
        <v>223</v>
      </c>
      <c r="H118" s="5"/>
      <c r="I118" s="5"/>
      <c r="J118" s="6"/>
      <c r="K118" s="52">
        <v>10.0</v>
      </c>
      <c r="L118" s="5"/>
      <c r="M118" s="5"/>
      <c r="N118" s="6"/>
      <c r="O118" s="52" t="s">
        <v>199</v>
      </c>
      <c r="P118" s="5"/>
      <c r="Q118" s="6"/>
      <c r="R118" s="54" t="s">
        <v>200</v>
      </c>
      <c r="S118" s="6"/>
      <c r="T118" s="53"/>
      <c r="U118" s="6"/>
      <c r="V118" s="53"/>
      <c r="W118" s="6"/>
      <c r="X118" s="53"/>
      <c r="Y118" s="6"/>
    </row>
    <row r="119" ht="45.75" customHeight="1">
      <c r="A119" s="83"/>
      <c r="B119" s="84"/>
      <c r="C119" s="84"/>
      <c r="G119" s="84"/>
      <c r="K119" s="84"/>
      <c r="O119" s="84"/>
      <c r="R119" s="84"/>
      <c r="T119" s="84"/>
      <c r="V119" s="84"/>
      <c r="X119" s="84"/>
    </row>
    <row r="120" ht="45.75" customHeight="1"/>
    <row r="121" ht="45.75" customHeight="1"/>
    <row r="122" ht="45.75" customHeight="1"/>
    <row r="123" ht="45.75" customHeight="1"/>
    <row r="124" ht="45.75" customHeight="1"/>
    <row r="125" ht="45.75" customHeight="1">
      <c r="A125" s="63">
        <v>12.0</v>
      </c>
      <c r="B125" s="70" t="s">
        <v>134</v>
      </c>
      <c r="C125" s="71" t="str">
        <f>'Invetario de Tablas'!B15</f>
        <v>tipo_evento</v>
      </c>
      <c r="D125" s="32"/>
      <c r="E125" s="32"/>
      <c r="F125" s="33"/>
      <c r="G125" s="70" t="s">
        <v>135</v>
      </c>
      <c r="H125" s="32"/>
      <c r="I125" s="32"/>
      <c r="J125" s="33"/>
      <c r="K125" s="81" t="str">
        <f>'Invetario de Tablas'!C15</f>
        <v>interaccion de un tipo de evento</v>
      </c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3"/>
      <c r="X125" s="73" t="s">
        <v>186</v>
      </c>
      <c r="Y125" s="74">
        <f>Y3</f>
        <v>46023</v>
      </c>
    </row>
    <row r="126" ht="45.75" customHeight="1">
      <c r="A126" s="75" t="s">
        <v>1</v>
      </c>
      <c r="B126" s="76" t="s">
        <v>187</v>
      </c>
      <c r="C126" s="78" t="s">
        <v>188</v>
      </c>
      <c r="D126" s="5"/>
      <c r="E126" s="5"/>
      <c r="F126" s="6"/>
      <c r="G126" s="78" t="s">
        <v>189</v>
      </c>
      <c r="H126" s="5"/>
      <c r="I126" s="5"/>
      <c r="J126" s="6"/>
      <c r="K126" s="78" t="s">
        <v>190</v>
      </c>
      <c r="L126" s="5"/>
      <c r="M126" s="5"/>
      <c r="N126" s="6"/>
      <c r="O126" s="78" t="s">
        <v>191</v>
      </c>
      <c r="P126" s="5"/>
      <c r="Q126" s="6"/>
      <c r="R126" s="78" t="s">
        <v>192</v>
      </c>
      <c r="S126" s="6"/>
      <c r="T126" s="78" t="s">
        <v>193</v>
      </c>
      <c r="U126" s="6"/>
      <c r="V126" s="78" t="s">
        <v>194</v>
      </c>
      <c r="W126" s="6"/>
      <c r="X126" s="78" t="s">
        <v>195</v>
      </c>
      <c r="Y126" s="40"/>
    </row>
    <row r="127" ht="45.75" customHeight="1">
      <c r="A127" s="79">
        <v>1.0</v>
      </c>
      <c r="B127" s="50" t="s">
        <v>285</v>
      </c>
      <c r="C127" s="51" t="s">
        <v>286</v>
      </c>
      <c r="D127" s="5"/>
      <c r="E127" s="5"/>
      <c r="F127" s="6"/>
      <c r="G127" s="52" t="s">
        <v>223</v>
      </c>
      <c r="H127" s="5"/>
      <c r="I127" s="5"/>
      <c r="J127" s="6"/>
      <c r="K127" s="52">
        <v>5.0</v>
      </c>
      <c r="L127" s="5"/>
      <c r="M127" s="5"/>
      <c r="N127" s="6"/>
      <c r="O127" s="52" t="s">
        <v>199</v>
      </c>
      <c r="P127" s="5"/>
      <c r="Q127" s="6"/>
      <c r="R127" s="54" t="s">
        <v>200</v>
      </c>
      <c r="S127" s="6"/>
      <c r="T127" s="53"/>
      <c r="U127" s="6"/>
      <c r="V127" s="53"/>
      <c r="W127" s="6"/>
      <c r="X127" s="53"/>
      <c r="Y127" s="6"/>
    </row>
    <row r="128" ht="45.75" customHeight="1">
      <c r="A128" s="79">
        <v>2.0</v>
      </c>
      <c r="B128" s="50" t="s">
        <v>287</v>
      </c>
      <c r="C128" s="51" t="s">
        <v>288</v>
      </c>
      <c r="D128" s="5"/>
      <c r="E128" s="5"/>
      <c r="F128" s="6"/>
      <c r="G128" s="52" t="s">
        <v>203</v>
      </c>
      <c r="H128" s="5"/>
      <c r="I128" s="5"/>
      <c r="J128" s="6"/>
      <c r="K128" s="52">
        <v>50.0</v>
      </c>
      <c r="L128" s="5"/>
      <c r="M128" s="5"/>
      <c r="N128" s="6"/>
      <c r="O128" s="52" t="s">
        <v>199</v>
      </c>
      <c r="P128" s="5"/>
      <c r="Q128" s="6"/>
      <c r="R128" s="53"/>
      <c r="S128" s="6"/>
      <c r="T128" s="53"/>
      <c r="U128" s="6"/>
      <c r="V128" s="53"/>
      <c r="W128" s="6"/>
      <c r="X128" s="53"/>
      <c r="Y128" s="6"/>
    </row>
    <row r="129" ht="45.75" customHeight="1">
      <c r="A129" s="83"/>
      <c r="B129" s="84"/>
      <c r="C129" s="84"/>
      <c r="G129" s="84"/>
      <c r="K129" s="84"/>
      <c r="O129" s="84"/>
      <c r="R129" s="84"/>
      <c r="T129" s="84"/>
      <c r="V129" s="84"/>
      <c r="X129" s="84"/>
    </row>
    <row r="130" ht="45.75" customHeight="1">
      <c r="A130" s="83"/>
      <c r="B130" s="84"/>
      <c r="C130" s="84"/>
      <c r="G130" s="84"/>
      <c r="K130" s="84"/>
      <c r="O130" s="84"/>
      <c r="R130" s="84"/>
      <c r="T130" s="84"/>
      <c r="V130" s="84"/>
      <c r="X130" s="84"/>
    </row>
    <row r="131" ht="45.75" customHeight="1">
      <c r="A131" s="83"/>
      <c r="B131" s="84"/>
      <c r="C131" s="84"/>
      <c r="G131" s="84"/>
      <c r="K131" s="84"/>
      <c r="O131" s="84"/>
      <c r="R131" s="84"/>
      <c r="T131" s="84"/>
      <c r="V131" s="84"/>
      <c r="X131" s="84"/>
    </row>
    <row r="132" ht="45.75" customHeight="1"/>
    <row r="133" ht="45.75" customHeight="1"/>
    <row r="134" ht="45.75" customHeight="1"/>
    <row r="135" ht="45.75" customHeight="1"/>
    <row r="136" ht="45.75" customHeight="1"/>
    <row r="137" ht="45.75" customHeight="1">
      <c r="A137" s="63">
        <v>13.0</v>
      </c>
      <c r="B137" s="70" t="s">
        <v>134</v>
      </c>
      <c r="C137" s="71" t="str">
        <f>'Invetario de Tablas'!B16</f>
        <v>evento</v>
      </c>
      <c r="D137" s="32"/>
      <c r="E137" s="32"/>
      <c r="F137" s="33"/>
      <c r="G137" s="70" t="s">
        <v>135</v>
      </c>
      <c r="H137" s="32"/>
      <c r="I137" s="32"/>
      <c r="J137" s="33"/>
      <c r="K137" s="81" t="str">
        <f>'Invetario de Tablas'!C16</f>
        <v>organización de grandes reuniones que incitan el aprendizaje</v>
      </c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3"/>
      <c r="X137" s="73" t="s">
        <v>186</v>
      </c>
      <c r="Y137" s="74">
        <f>Y3</f>
        <v>46023</v>
      </c>
    </row>
    <row r="138" ht="45.75" customHeight="1">
      <c r="A138" s="75" t="s">
        <v>1</v>
      </c>
      <c r="B138" s="76" t="s">
        <v>187</v>
      </c>
      <c r="C138" s="78" t="s">
        <v>188</v>
      </c>
      <c r="D138" s="5"/>
      <c r="E138" s="5"/>
      <c r="F138" s="6"/>
      <c r="G138" s="78" t="s">
        <v>189</v>
      </c>
      <c r="H138" s="5"/>
      <c r="I138" s="5"/>
      <c r="J138" s="6"/>
      <c r="K138" s="78" t="s">
        <v>190</v>
      </c>
      <c r="L138" s="5"/>
      <c r="M138" s="5"/>
      <c r="N138" s="6"/>
      <c r="O138" s="78" t="s">
        <v>191</v>
      </c>
      <c r="P138" s="5"/>
      <c r="Q138" s="6"/>
      <c r="R138" s="78" t="s">
        <v>192</v>
      </c>
      <c r="S138" s="6"/>
      <c r="T138" s="78" t="s">
        <v>193</v>
      </c>
      <c r="U138" s="6"/>
      <c r="V138" s="78" t="s">
        <v>194</v>
      </c>
      <c r="W138" s="6"/>
      <c r="X138" s="78" t="s">
        <v>195</v>
      </c>
      <c r="Y138" s="40"/>
    </row>
    <row r="139" ht="45.75" customHeight="1">
      <c r="A139" s="79">
        <v>1.0</v>
      </c>
      <c r="B139" s="50" t="s">
        <v>289</v>
      </c>
      <c r="C139" s="51" t="s">
        <v>290</v>
      </c>
      <c r="D139" s="5"/>
      <c r="E139" s="5"/>
      <c r="F139" s="6"/>
      <c r="G139" s="52" t="s">
        <v>203</v>
      </c>
      <c r="H139" s="5"/>
      <c r="I139" s="5"/>
      <c r="J139" s="6"/>
      <c r="K139" s="52">
        <v>100.0</v>
      </c>
      <c r="L139" s="5"/>
      <c r="M139" s="5"/>
      <c r="N139" s="6"/>
      <c r="O139" s="52" t="s">
        <v>199</v>
      </c>
      <c r="P139" s="5"/>
      <c r="Q139" s="6"/>
      <c r="R139" s="53"/>
      <c r="S139" s="6"/>
      <c r="T139" s="53"/>
      <c r="U139" s="6"/>
      <c r="V139" s="53"/>
      <c r="W139" s="6"/>
      <c r="X139" s="53"/>
      <c r="Y139" s="6"/>
    </row>
    <row r="140" ht="45.75" customHeight="1">
      <c r="A140" s="79">
        <v>2.0</v>
      </c>
      <c r="B140" s="50" t="s">
        <v>291</v>
      </c>
      <c r="C140" s="51" t="s">
        <v>292</v>
      </c>
      <c r="D140" s="5"/>
      <c r="E140" s="5"/>
      <c r="F140" s="6"/>
      <c r="G140" s="52" t="s">
        <v>245</v>
      </c>
      <c r="H140" s="5"/>
      <c r="I140" s="5"/>
      <c r="J140" s="6"/>
      <c r="K140" s="52">
        <v>10.0</v>
      </c>
      <c r="L140" s="5"/>
      <c r="M140" s="5"/>
      <c r="N140" s="6"/>
      <c r="O140" s="52" t="s">
        <v>199</v>
      </c>
      <c r="P140" s="5"/>
      <c r="Q140" s="6"/>
      <c r="R140" s="53"/>
      <c r="S140" s="6"/>
      <c r="T140" s="53"/>
      <c r="U140" s="6"/>
      <c r="V140" s="53"/>
      <c r="W140" s="6"/>
      <c r="X140" s="53"/>
      <c r="Y140" s="6"/>
    </row>
    <row r="141" ht="45.75" customHeight="1">
      <c r="A141" s="79">
        <v>3.0</v>
      </c>
      <c r="B141" s="50" t="s">
        <v>293</v>
      </c>
      <c r="C141" s="51" t="s">
        <v>294</v>
      </c>
      <c r="D141" s="5"/>
      <c r="E141" s="5"/>
      <c r="F141" s="6"/>
      <c r="G141" s="52" t="s">
        <v>203</v>
      </c>
      <c r="H141" s="5"/>
      <c r="I141" s="5"/>
      <c r="J141" s="6"/>
      <c r="K141" s="52">
        <v>5.0</v>
      </c>
      <c r="L141" s="5"/>
      <c r="M141" s="5"/>
      <c r="N141" s="6"/>
      <c r="O141" s="52" t="s">
        <v>199</v>
      </c>
      <c r="P141" s="5"/>
      <c r="Q141" s="6"/>
      <c r="R141" s="53"/>
      <c r="S141" s="6"/>
      <c r="T141" s="53"/>
      <c r="U141" s="6"/>
      <c r="V141" s="53"/>
      <c r="W141" s="6"/>
      <c r="X141" s="53"/>
      <c r="Y141" s="6"/>
    </row>
    <row r="142" ht="45.75" customHeight="1">
      <c r="A142" s="79">
        <v>4.0</v>
      </c>
      <c r="B142" s="50" t="s">
        <v>295</v>
      </c>
      <c r="C142" s="51" t="s">
        <v>296</v>
      </c>
      <c r="D142" s="5"/>
      <c r="E142" s="5"/>
      <c r="F142" s="6"/>
      <c r="G142" s="52" t="s">
        <v>203</v>
      </c>
      <c r="H142" s="5"/>
      <c r="I142" s="5"/>
      <c r="J142" s="6"/>
      <c r="K142" s="52">
        <v>50.0</v>
      </c>
      <c r="L142" s="5"/>
      <c r="M142" s="5"/>
      <c r="N142" s="6"/>
      <c r="O142" s="52" t="s">
        <v>199</v>
      </c>
      <c r="P142" s="5"/>
      <c r="Q142" s="6"/>
      <c r="R142" s="53"/>
      <c r="S142" s="6"/>
      <c r="T142" s="53"/>
      <c r="U142" s="6"/>
      <c r="V142" s="53"/>
      <c r="W142" s="6"/>
      <c r="X142" s="53"/>
      <c r="Y142" s="6"/>
    </row>
    <row r="143" ht="45.75" customHeight="1">
      <c r="A143" s="79">
        <v>5.0</v>
      </c>
      <c r="B143" s="50" t="s">
        <v>285</v>
      </c>
      <c r="C143" s="51" t="s">
        <v>286</v>
      </c>
      <c r="D143" s="5"/>
      <c r="E143" s="5"/>
      <c r="F143" s="6"/>
      <c r="G143" s="80" t="s">
        <v>198</v>
      </c>
      <c r="H143" s="5"/>
      <c r="I143" s="5"/>
      <c r="J143" s="6"/>
      <c r="K143" s="52">
        <v>5.0</v>
      </c>
      <c r="L143" s="5"/>
      <c r="M143" s="5"/>
      <c r="N143" s="6"/>
      <c r="O143" s="52" t="s">
        <v>199</v>
      </c>
      <c r="P143" s="5"/>
      <c r="Q143" s="6"/>
      <c r="R143" s="53"/>
      <c r="S143" s="6"/>
      <c r="T143" s="54" t="s">
        <v>200</v>
      </c>
      <c r="U143" s="6"/>
      <c r="V143" s="53"/>
      <c r="W143" s="6"/>
      <c r="X143" s="53"/>
      <c r="Y143" s="6"/>
    </row>
    <row r="144" ht="45.75" customHeight="1">
      <c r="A144" s="79">
        <v>6.0</v>
      </c>
      <c r="B144" s="50" t="s">
        <v>196</v>
      </c>
      <c r="C144" s="51" t="s">
        <v>297</v>
      </c>
      <c r="D144" s="5"/>
      <c r="E144" s="5"/>
      <c r="F144" s="6"/>
      <c r="G144" s="80" t="s">
        <v>198</v>
      </c>
      <c r="H144" s="5"/>
      <c r="I144" s="5"/>
      <c r="J144" s="6"/>
      <c r="K144" s="52">
        <v>15.0</v>
      </c>
      <c r="L144" s="5"/>
      <c r="M144" s="5"/>
      <c r="N144" s="6"/>
      <c r="O144" s="52" t="s">
        <v>199</v>
      </c>
      <c r="P144" s="5"/>
      <c r="Q144" s="6"/>
      <c r="R144" s="53"/>
      <c r="S144" s="6"/>
      <c r="T144" s="54" t="s">
        <v>200</v>
      </c>
      <c r="U144" s="6"/>
      <c r="V144" s="53"/>
      <c r="W144" s="6"/>
      <c r="X144" s="53"/>
      <c r="Y144" s="6"/>
    </row>
    <row r="145" ht="45.75" customHeight="1">
      <c r="A145" s="79">
        <v>7.0</v>
      </c>
      <c r="B145" s="50" t="s">
        <v>298</v>
      </c>
      <c r="C145" s="51" t="s">
        <v>299</v>
      </c>
      <c r="D145" s="5"/>
      <c r="E145" s="5"/>
      <c r="F145" s="6"/>
      <c r="G145" s="52" t="s">
        <v>223</v>
      </c>
      <c r="H145" s="5"/>
      <c r="I145" s="5"/>
      <c r="J145" s="6"/>
      <c r="K145" s="52">
        <v>5.0</v>
      </c>
      <c r="L145" s="5"/>
      <c r="M145" s="5"/>
      <c r="N145" s="6"/>
      <c r="O145" s="52" t="s">
        <v>199</v>
      </c>
      <c r="P145" s="5"/>
      <c r="Q145" s="6"/>
      <c r="R145" s="54" t="s">
        <v>200</v>
      </c>
      <c r="S145" s="6"/>
      <c r="T145" s="53"/>
      <c r="U145" s="6"/>
      <c r="V145" s="53"/>
      <c r="W145" s="6"/>
      <c r="X145" s="53"/>
      <c r="Y145" s="6"/>
    </row>
    <row r="146" ht="45.75" customHeight="1"/>
    <row r="147" ht="45.75" customHeight="1"/>
    <row r="148" ht="45.75" customHeight="1"/>
    <row r="149" ht="45.75" customHeight="1">
      <c r="A149" s="63">
        <v>14.0</v>
      </c>
      <c r="B149" s="70" t="s">
        <v>134</v>
      </c>
      <c r="C149" s="71" t="str">
        <f>'Invetario de Tablas'!B17</f>
        <v>venta</v>
      </c>
      <c r="D149" s="32"/>
      <c r="E149" s="32"/>
      <c r="F149" s="33"/>
      <c r="G149" s="70" t="s">
        <v>135</v>
      </c>
      <c r="H149" s="32"/>
      <c r="I149" s="32"/>
      <c r="J149" s="33"/>
      <c r="K149" s="81" t="str">
        <f>'Invetario de Tablas'!C17</f>
        <v>transacción entre el usuario y un vendedor a través de la red social pascualina</v>
      </c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3"/>
      <c r="X149" s="73" t="s">
        <v>186</v>
      </c>
      <c r="Y149" s="74">
        <f>Y3</f>
        <v>46023</v>
      </c>
    </row>
    <row r="150" ht="45.75" customHeight="1">
      <c r="A150" s="75" t="s">
        <v>1</v>
      </c>
      <c r="B150" s="76" t="s">
        <v>187</v>
      </c>
      <c r="C150" s="78" t="s">
        <v>188</v>
      </c>
      <c r="D150" s="5"/>
      <c r="E150" s="5"/>
      <c r="F150" s="6"/>
      <c r="G150" s="78" t="s">
        <v>189</v>
      </c>
      <c r="H150" s="5"/>
      <c r="I150" s="5"/>
      <c r="J150" s="6"/>
      <c r="K150" s="78" t="s">
        <v>190</v>
      </c>
      <c r="L150" s="5"/>
      <c r="M150" s="5"/>
      <c r="N150" s="6"/>
      <c r="O150" s="78" t="s">
        <v>191</v>
      </c>
      <c r="P150" s="5"/>
      <c r="Q150" s="6"/>
      <c r="R150" s="78" t="s">
        <v>192</v>
      </c>
      <c r="S150" s="6"/>
      <c r="T150" s="78" t="s">
        <v>193</v>
      </c>
      <c r="U150" s="6"/>
      <c r="V150" s="78" t="s">
        <v>194</v>
      </c>
      <c r="W150" s="6"/>
      <c r="X150" s="78" t="s">
        <v>195</v>
      </c>
      <c r="Y150" s="40"/>
    </row>
    <row r="151" ht="45.75" customHeight="1">
      <c r="A151" s="79">
        <v>1.0</v>
      </c>
      <c r="B151" s="50" t="s">
        <v>300</v>
      </c>
      <c r="C151" s="51" t="s">
        <v>301</v>
      </c>
      <c r="D151" s="5"/>
      <c r="E151" s="5"/>
      <c r="F151" s="6"/>
      <c r="G151" s="52" t="s">
        <v>302</v>
      </c>
      <c r="H151" s="5"/>
      <c r="I151" s="5"/>
      <c r="J151" s="6"/>
      <c r="K151" s="52">
        <v>5.0</v>
      </c>
      <c r="L151" s="5"/>
      <c r="M151" s="5"/>
      <c r="N151" s="6"/>
      <c r="O151" s="52" t="s">
        <v>199</v>
      </c>
      <c r="P151" s="5"/>
      <c r="Q151" s="6"/>
      <c r="R151" s="54" t="s">
        <v>200</v>
      </c>
      <c r="S151" s="6"/>
      <c r="T151" s="53"/>
      <c r="U151" s="6"/>
      <c r="V151" s="53"/>
      <c r="W151" s="6"/>
      <c r="X151" s="53"/>
      <c r="Y151" s="6"/>
    </row>
    <row r="152" ht="45.75" customHeight="1">
      <c r="A152" s="79">
        <v>2.0</v>
      </c>
      <c r="B152" s="50" t="s">
        <v>303</v>
      </c>
      <c r="C152" s="51" t="s">
        <v>270</v>
      </c>
      <c r="D152" s="5"/>
      <c r="E152" s="5"/>
      <c r="F152" s="6"/>
      <c r="G152" s="80" t="s">
        <v>198</v>
      </c>
      <c r="H152" s="5"/>
      <c r="I152" s="5"/>
      <c r="J152" s="6"/>
      <c r="K152" s="52">
        <v>15.0</v>
      </c>
      <c r="L152" s="5"/>
      <c r="M152" s="5"/>
      <c r="N152" s="6"/>
      <c r="O152" s="52" t="s">
        <v>199</v>
      </c>
      <c r="P152" s="5"/>
      <c r="Q152" s="6"/>
      <c r="R152" s="53"/>
      <c r="S152" s="6"/>
      <c r="T152" s="54" t="s">
        <v>200</v>
      </c>
      <c r="U152" s="6"/>
      <c r="V152" s="53"/>
      <c r="W152" s="6"/>
      <c r="X152" s="53"/>
      <c r="Y152" s="6"/>
    </row>
    <row r="153" ht="45.75" customHeight="1">
      <c r="A153" s="79">
        <v>3.0</v>
      </c>
      <c r="B153" s="50" t="s">
        <v>304</v>
      </c>
      <c r="C153" s="51" t="s">
        <v>305</v>
      </c>
      <c r="D153" s="5"/>
      <c r="E153" s="5"/>
      <c r="F153" s="6"/>
      <c r="G153" s="80" t="s">
        <v>198</v>
      </c>
      <c r="H153" s="5"/>
      <c r="I153" s="5"/>
      <c r="J153" s="6"/>
      <c r="K153" s="52">
        <v>15.0</v>
      </c>
      <c r="L153" s="5"/>
      <c r="M153" s="5"/>
      <c r="N153" s="6"/>
      <c r="O153" s="52" t="s">
        <v>199</v>
      </c>
      <c r="P153" s="5"/>
      <c r="Q153" s="6"/>
      <c r="R153" s="53"/>
      <c r="S153" s="6"/>
      <c r="T153" s="54" t="s">
        <v>200</v>
      </c>
      <c r="U153" s="6"/>
      <c r="V153" s="53"/>
      <c r="W153" s="6"/>
      <c r="X153" s="53"/>
      <c r="Y153" s="6"/>
    </row>
    <row r="154" ht="45.75" customHeight="1">
      <c r="A154" s="79">
        <v>4.0</v>
      </c>
      <c r="B154" s="50" t="s">
        <v>283</v>
      </c>
      <c r="C154" s="51" t="s">
        <v>306</v>
      </c>
      <c r="D154" s="5"/>
      <c r="E154" s="5"/>
      <c r="F154" s="6"/>
      <c r="G154" s="52" t="s">
        <v>198</v>
      </c>
      <c r="H154" s="5"/>
      <c r="I154" s="5"/>
      <c r="J154" s="6"/>
      <c r="K154" s="52">
        <v>10.0</v>
      </c>
      <c r="L154" s="5"/>
      <c r="M154" s="5"/>
      <c r="N154" s="6"/>
      <c r="O154" s="52" t="s">
        <v>199</v>
      </c>
      <c r="P154" s="5"/>
      <c r="Q154" s="6"/>
      <c r="R154" s="53"/>
      <c r="S154" s="6"/>
      <c r="T154" s="54" t="s">
        <v>200</v>
      </c>
      <c r="U154" s="6"/>
      <c r="V154" s="53"/>
      <c r="W154" s="6"/>
      <c r="X154" s="53"/>
      <c r="Y154" s="6"/>
    </row>
    <row r="155" ht="45.75" customHeight="1">
      <c r="A155" s="79">
        <v>5.0</v>
      </c>
      <c r="B155" s="50" t="s">
        <v>307</v>
      </c>
      <c r="C155" s="51" t="s">
        <v>308</v>
      </c>
      <c r="D155" s="5"/>
      <c r="E155" s="5"/>
      <c r="F155" s="6"/>
      <c r="G155" s="52" t="s">
        <v>245</v>
      </c>
      <c r="H155" s="5"/>
      <c r="I155" s="5"/>
      <c r="J155" s="6"/>
      <c r="K155" s="52">
        <v>10.0</v>
      </c>
      <c r="L155" s="5"/>
      <c r="M155" s="5"/>
      <c r="N155" s="6"/>
      <c r="O155" s="52" t="s">
        <v>199</v>
      </c>
      <c r="P155" s="5"/>
      <c r="Q155" s="6"/>
      <c r="R155" s="53"/>
      <c r="S155" s="6"/>
      <c r="T155" s="53"/>
      <c r="U155" s="6"/>
      <c r="V155" s="53"/>
      <c r="W155" s="6"/>
      <c r="X155" s="53"/>
      <c r="Y155" s="6"/>
    </row>
    <row r="156" ht="45.75" customHeight="1">
      <c r="A156" s="79">
        <v>6.0</v>
      </c>
      <c r="B156" s="50" t="s">
        <v>309</v>
      </c>
      <c r="C156" s="51" t="s">
        <v>310</v>
      </c>
      <c r="D156" s="5"/>
      <c r="E156" s="5"/>
      <c r="F156" s="6"/>
      <c r="G156" s="52" t="s">
        <v>203</v>
      </c>
      <c r="H156" s="5"/>
      <c r="I156" s="5"/>
      <c r="J156" s="6"/>
      <c r="K156" s="94">
        <v>10.0</v>
      </c>
      <c r="L156" s="5"/>
      <c r="M156" s="5"/>
      <c r="N156" s="6"/>
      <c r="O156" s="52" t="s">
        <v>199</v>
      </c>
      <c r="P156" s="5"/>
      <c r="Q156" s="6"/>
      <c r="R156" s="53"/>
      <c r="S156" s="6"/>
      <c r="T156" s="53"/>
      <c r="U156" s="6"/>
      <c r="V156" s="53"/>
      <c r="W156" s="6"/>
      <c r="X156" s="53"/>
      <c r="Y156" s="6"/>
    </row>
    <row r="157" ht="45.75" customHeight="1"/>
    <row r="158" ht="45.75" customHeight="1"/>
    <row r="159" ht="45.75" customHeight="1"/>
    <row r="160" ht="45.75" customHeight="1"/>
    <row r="161" ht="45.75" customHeight="1">
      <c r="A161" s="63">
        <v>15.0</v>
      </c>
      <c r="B161" s="70" t="s">
        <v>134</v>
      </c>
      <c r="C161" s="71" t="str">
        <f>'Invetario de Tablas'!B18</f>
        <v>publicidad</v>
      </c>
      <c r="D161" s="32"/>
      <c r="E161" s="32"/>
      <c r="F161" s="33"/>
      <c r="G161" s="70" t="s">
        <v>135</v>
      </c>
      <c r="H161" s="32"/>
      <c r="I161" s="32"/>
      <c r="J161" s="33"/>
      <c r="K161" s="81" t="str">
        <f>'Invetario de Tablas'!C18</f>
        <v>apartado que promociona un evento, servicios y demás</v>
      </c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3"/>
      <c r="X161" s="73" t="s">
        <v>186</v>
      </c>
      <c r="Y161" s="74">
        <f>Y3</f>
        <v>46023</v>
      </c>
    </row>
    <row r="162" ht="45.75" customHeight="1">
      <c r="A162" s="75" t="s">
        <v>1</v>
      </c>
      <c r="B162" s="76" t="s">
        <v>187</v>
      </c>
      <c r="C162" s="78" t="s">
        <v>188</v>
      </c>
      <c r="D162" s="5"/>
      <c r="E162" s="5"/>
      <c r="F162" s="6"/>
      <c r="G162" s="78" t="s">
        <v>189</v>
      </c>
      <c r="H162" s="5"/>
      <c r="I162" s="5"/>
      <c r="J162" s="6"/>
      <c r="K162" s="78" t="s">
        <v>190</v>
      </c>
      <c r="L162" s="5"/>
      <c r="M162" s="5"/>
      <c r="N162" s="6"/>
      <c r="O162" s="78" t="s">
        <v>191</v>
      </c>
      <c r="P162" s="5"/>
      <c r="Q162" s="6"/>
      <c r="R162" s="78" t="s">
        <v>192</v>
      </c>
      <c r="S162" s="6"/>
      <c r="T162" s="78" t="s">
        <v>193</v>
      </c>
      <c r="U162" s="6"/>
      <c r="V162" s="78" t="s">
        <v>194</v>
      </c>
      <c r="W162" s="6"/>
      <c r="X162" s="78" t="s">
        <v>195</v>
      </c>
      <c r="Y162" s="40"/>
    </row>
    <row r="163" ht="45.75" customHeight="1">
      <c r="A163" s="79">
        <v>1.0</v>
      </c>
      <c r="B163" s="50" t="s">
        <v>255</v>
      </c>
      <c r="C163" s="51" t="s">
        <v>256</v>
      </c>
      <c r="D163" s="5"/>
      <c r="E163" s="5"/>
      <c r="F163" s="6"/>
      <c r="G163" s="52" t="s">
        <v>223</v>
      </c>
      <c r="H163" s="5"/>
      <c r="I163" s="5"/>
      <c r="J163" s="6"/>
      <c r="K163" s="52">
        <v>5.0</v>
      </c>
      <c r="L163" s="5"/>
      <c r="M163" s="5"/>
      <c r="N163" s="6"/>
      <c r="O163" s="52" t="s">
        <v>199</v>
      </c>
      <c r="P163" s="5"/>
      <c r="Q163" s="6"/>
      <c r="R163" s="54" t="s">
        <v>200</v>
      </c>
      <c r="S163" s="6"/>
      <c r="T163" s="53"/>
      <c r="U163" s="6"/>
      <c r="V163" s="53"/>
      <c r="W163" s="6"/>
      <c r="X163" s="53"/>
      <c r="Y163" s="6"/>
    </row>
    <row r="164" ht="45.75" customHeight="1">
      <c r="A164" s="79">
        <v>2.0</v>
      </c>
      <c r="B164" s="50" t="s">
        <v>196</v>
      </c>
      <c r="C164" s="51" t="s">
        <v>270</v>
      </c>
      <c r="D164" s="5"/>
      <c r="E164" s="5"/>
      <c r="F164" s="6"/>
      <c r="G164" s="80" t="s">
        <v>198</v>
      </c>
      <c r="H164" s="5"/>
      <c r="I164" s="5"/>
      <c r="J164" s="6"/>
      <c r="K164" s="52">
        <v>15.0</v>
      </c>
      <c r="L164" s="5"/>
      <c r="M164" s="5"/>
      <c r="N164" s="6"/>
      <c r="O164" s="52" t="s">
        <v>199</v>
      </c>
      <c r="P164" s="5"/>
      <c r="Q164" s="6"/>
      <c r="R164" s="53"/>
      <c r="S164" s="6"/>
      <c r="T164" s="54" t="s">
        <v>200</v>
      </c>
      <c r="U164" s="6"/>
      <c r="V164" s="53"/>
      <c r="W164" s="6"/>
      <c r="X164" s="53"/>
      <c r="Y164" s="6"/>
    </row>
    <row r="165" ht="45.75" customHeight="1">
      <c r="A165" s="79">
        <v>3.0</v>
      </c>
      <c r="B165" s="50" t="s">
        <v>311</v>
      </c>
      <c r="C165" s="51" t="s">
        <v>312</v>
      </c>
      <c r="D165" s="5"/>
      <c r="E165" s="5"/>
      <c r="F165" s="6"/>
      <c r="G165" s="52" t="s">
        <v>203</v>
      </c>
      <c r="H165" s="5"/>
      <c r="I165" s="5"/>
      <c r="J165" s="6"/>
      <c r="K165" s="52">
        <v>20.0</v>
      </c>
      <c r="L165" s="5"/>
      <c r="M165" s="5"/>
      <c r="N165" s="6"/>
      <c r="O165" s="52" t="s">
        <v>199</v>
      </c>
      <c r="P165" s="5"/>
      <c r="Q165" s="6"/>
      <c r="R165" s="53"/>
      <c r="S165" s="6"/>
      <c r="T165" s="53"/>
      <c r="U165" s="6"/>
      <c r="V165" s="53"/>
      <c r="W165" s="6"/>
      <c r="X165" s="53"/>
      <c r="Y165" s="6"/>
    </row>
    <row r="166" ht="45.75" customHeight="1">
      <c r="A166" s="79">
        <v>4.0</v>
      </c>
      <c r="B166" s="50" t="s">
        <v>313</v>
      </c>
      <c r="C166" s="51" t="s">
        <v>314</v>
      </c>
      <c r="D166" s="5"/>
      <c r="E166" s="5"/>
      <c r="F166" s="6"/>
      <c r="G166" s="52" t="s">
        <v>203</v>
      </c>
      <c r="H166" s="5"/>
      <c r="I166" s="5"/>
      <c r="J166" s="6"/>
      <c r="K166" s="52">
        <v>200.0</v>
      </c>
      <c r="L166" s="5"/>
      <c r="M166" s="5"/>
      <c r="N166" s="6"/>
      <c r="O166" s="52" t="s">
        <v>199</v>
      </c>
      <c r="P166" s="5"/>
      <c r="Q166" s="6"/>
      <c r="R166" s="53"/>
      <c r="S166" s="6"/>
      <c r="T166" s="53"/>
      <c r="U166" s="6"/>
      <c r="V166" s="53"/>
      <c r="W166" s="6"/>
      <c r="X166" s="53"/>
      <c r="Y166" s="6"/>
    </row>
    <row r="167" ht="45.75" customHeight="1">
      <c r="A167" s="79">
        <v>5.0</v>
      </c>
      <c r="B167" s="50" t="s">
        <v>315</v>
      </c>
      <c r="C167" s="51" t="s">
        <v>316</v>
      </c>
      <c r="D167" s="5"/>
      <c r="E167" s="5"/>
      <c r="F167" s="6"/>
      <c r="G167" s="52" t="s">
        <v>317</v>
      </c>
      <c r="H167" s="5"/>
      <c r="I167" s="5"/>
      <c r="J167" s="6"/>
      <c r="K167" s="52">
        <v>255.0</v>
      </c>
      <c r="L167" s="5"/>
      <c r="M167" s="5"/>
      <c r="N167" s="6"/>
      <c r="O167" s="52" t="s">
        <v>206</v>
      </c>
      <c r="P167" s="5"/>
      <c r="Q167" s="6"/>
      <c r="R167" s="53"/>
      <c r="S167" s="6"/>
      <c r="T167" s="53"/>
      <c r="U167" s="6"/>
      <c r="V167" s="54" t="s">
        <v>200</v>
      </c>
      <c r="W167" s="6"/>
      <c r="X167" s="53"/>
      <c r="Y167" s="6"/>
    </row>
    <row r="168" ht="45.75" customHeight="1">
      <c r="A168" s="79">
        <v>6.0</v>
      </c>
      <c r="B168" s="50" t="s">
        <v>243</v>
      </c>
      <c r="C168" s="51" t="s">
        <v>318</v>
      </c>
      <c r="D168" s="5"/>
      <c r="E168" s="5"/>
      <c r="F168" s="6"/>
      <c r="G168" s="52" t="s">
        <v>245</v>
      </c>
      <c r="H168" s="5"/>
      <c r="I168" s="5"/>
      <c r="J168" s="6"/>
      <c r="K168" s="52">
        <v>10.0</v>
      </c>
      <c r="L168" s="5"/>
      <c r="M168" s="5"/>
      <c r="N168" s="6"/>
      <c r="O168" s="52" t="s">
        <v>199</v>
      </c>
      <c r="P168" s="5"/>
      <c r="Q168" s="6"/>
      <c r="R168" s="53"/>
      <c r="S168" s="6"/>
      <c r="T168" s="53"/>
      <c r="U168" s="6"/>
      <c r="V168" s="53"/>
      <c r="W168" s="6"/>
      <c r="X168" s="53"/>
      <c r="Y168" s="6"/>
    </row>
    <row r="169" ht="45.75" customHeight="1"/>
    <row r="170" ht="45.75" customHeight="1"/>
    <row r="171" ht="45.75" customHeight="1"/>
    <row r="172" ht="45.75" customHeight="1"/>
    <row r="173">
      <c r="A173" s="63">
        <v>16.0</v>
      </c>
      <c r="B173" s="70" t="s">
        <v>134</v>
      </c>
      <c r="C173" s="71" t="str">
        <f>'Invetario de Tablas'!B19</f>
        <v>reaccion</v>
      </c>
      <c r="D173" s="32"/>
      <c r="E173" s="32"/>
      <c r="F173" s="33"/>
      <c r="G173" s="70" t="s">
        <v>135</v>
      </c>
      <c r="H173" s="32"/>
      <c r="I173" s="32"/>
      <c r="J173" s="33"/>
      <c r="K173" s="81" t="str">
        <f>'Invetario de Tablas'!C19</f>
        <v>muestra de que el comentario o la publicación fue recibida de buena o mala manera por los usuarios</v>
      </c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3"/>
      <c r="X173" s="73" t="s">
        <v>186</v>
      </c>
      <c r="Y173" s="74">
        <f>Y3</f>
        <v>46023</v>
      </c>
    </row>
    <row r="174" ht="45.75" customHeight="1">
      <c r="A174" s="75" t="s">
        <v>1</v>
      </c>
      <c r="B174" s="76" t="s">
        <v>187</v>
      </c>
      <c r="C174" s="78" t="s">
        <v>188</v>
      </c>
      <c r="D174" s="5"/>
      <c r="E174" s="5"/>
      <c r="F174" s="6"/>
      <c r="G174" s="78" t="s">
        <v>189</v>
      </c>
      <c r="H174" s="5"/>
      <c r="I174" s="5"/>
      <c r="J174" s="6"/>
      <c r="K174" s="78" t="s">
        <v>190</v>
      </c>
      <c r="L174" s="5"/>
      <c r="M174" s="5"/>
      <c r="N174" s="6"/>
      <c r="O174" s="78" t="s">
        <v>191</v>
      </c>
      <c r="P174" s="5"/>
      <c r="Q174" s="6"/>
      <c r="R174" s="78" t="s">
        <v>192</v>
      </c>
      <c r="S174" s="6"/>
      <c r="T174" s="78" t="s">
        <v>193</v>
      </c>
      <c r="U174" s="6"/>
      <c r="V174" s="78" t="s">
        <v>194</v>
      </c>
      <c r="W174" s="6"/>
      <c r="X174" s="78" t="s">
        <v>195</v>
      </c>
      <c r="Y174" s="40"/>
    </row>
    <row r="175" ht="45.75" customHeight="1">
      <c r="A175" s="79">
        <v>1.0</v>
      </c>
      <c r="B175" s="50" t="s">
        <v>319</v>
      </c>
      <c r="C175" s="51" t="s">
        <v>320</v>
      </c>
      <c r="D175" s="5"/>
      <c r="E175" s="5"/>
      <c r="F175" s="6"/>
      <c r="G175" s="52" t="s">
        <v>198</v>
      </c>
      <c r="H175" s="5"/>
      <c r="I175" s="5"/>
      <c r="J175" s="6"/>
      <c r="K175" s="52">
        <v>10.0</v>
      </c>
      <c r="L175" s="5"/>
      <c r="M175" s="5"/>
      <c r="N175" s="6"/>
      <c r="O175" s="52" t="s">
        <v>199</v>
      </c>
      <c r="P175" s="5"/>
      <c r="Q175" s="6"/>
      <c r="R175" s="53"/>
      <c r="S175" s="6"/>
      <c r="T175" s="54" t="s">
        <v>200</v>
      </c>
      <c r="U175" s="6"/>
      <c r="V175" s="53"/>
      <c r="W175" s="6"/>
      <c r="X175" s="53"/>
      <c r="Y175" s="6"/>
    </row>
    <row r="176" ht="45.75" customHeight="1">
      <c r="A176" s="79">
        <v>2.0</v>
      </c>
      <c r="B176" s="50" t="s">
        <v>196</v>
      </c>
      <c r="C176" s="51" t="s">
        <v>270</v>
      </c>
      <c r="D176" s="5"/>
      <c r="E176" s="5"/>
      <c r="F176" s="6"/>
      <c r="G176" s="52" t="s">
        <v>198</v>
      </c>
      <c r="H176" s="5"/>
      <c r="I176" s="5"/>
      <c r="J176" s="6"/>
      <c r="K176" s="52">
        <v>10.0</v>
      </c>
      <c r="L176" s="5"/>
      <c r="M176" s="5"/>
      <c r="N176" s="6"/>
      <c r="O176" s="52" t="s">
        <v>199</v>
      </c>
      <c r="P176" s="5"/>
      <c r="Q176" s="6"/>
      <c r="R176" s="53"/>
      <c r="S176" s="6"/>
      <c r="T176" s="54" t="s">
        <v>200</v>
      </c>
      <c r="U176" s="6"/>
      <c r="V176" s="53"/>
      <c r="W176" s="6"/>
      <c r="X176" s="53"/>
      <c r="Y176" s="6"/>
    </row>
    <row r="177" ht="45.75" customHeight="1">
      <c r="A177" s="79">
        <v>3.0</v>
      </c>
      <c r="B177" s="50" t="s">
        <v>321</v>
      </c>
      <c r="C177" s="51" t="s">
        <v>322</v>
      </c>
      <c r="D177" s="5"/>
      <c r="E177" s="5"/>
      <c r="F177" s="6"/>
      <c r="G177" s="52" t="s">
        <v>223</v>
      </c>
      <c r="H177" s="5"/>
      <c r="I177" s="5"/>
      <c r="J177" s="6"/>
      <c r="K177" s="52">
        <v>10.0</v>
      </c>
      <c r="L177" s="5"/>
      <c r="M177" s="5"/>
      <c r="N177" s="6"/>
      <c r="O177" s="52" t="s">
        <v>199</v>
      </c>
      <c r="P177" s="5"/>
      <c r="Q177" s="6"/>
      <c r="R177" s="54" t="s">
        <v>200</v>
      </c>
      <c r="S177" s="6"/>
      <c r="T177" s="53"/>
      <c r="U177" s="6"/>
      <c r="V177" s="53"/>
      <c r="W177" s="6"/>
      <c r="X177" s="53"/>
      <c r="Y177" s="6"/>
    </row>
    <row r="178" ht="45.75" customHeight="1">
      <c r="A178" s="83"/>
      <c r="B178" s="84"/>
      <c r="C178" s="84"/>
      <c r="G178" s="84"/>
      <c r="K178" s="84"/>
      <c r="O178" s="84"/>
      <c r="R178" s="84"/>
      <c r="T178" s="84"/>
      <c r="V178" s="84"/>
      <c r="X178" s="84"/>
    </row>
    <row r="179" ht="45.75" customHeight="1">
      <c r="A179" s="83"/>
      <c r="B179" s="84"/>
      <c r="C179" s="84"/>
      <c r="G179" s="84"/>
      <c r="K179" s="84"/>
      <c r="O179" s="84"/>
      <c r="R179" s="84"/>
      <c r="T179" s="84"/>
      <c r="V179" s="84"/>
      <c r="X179" s="84"/>
    </row>
    <row r="180" ht="45.75" customHeight="1"/>
    <row r="181" ht="45.75" customHeight="1"/>
    <row r="182" ht="45.75" customHeight="1"/>
    <row r="183" ht="45.75" customHeight="1"/>
    <row r="184" ht="45.75" customHeight="1"/>
    <row r="185" ht="45.75" customHeight="1">
      <c r="A185" s="63">
        <v>17.0</v>
      </c>
      <c r="B185" s="70" t="s">
        <v>134</v>
      </c>
      <c r="C185" s="71" t="str">
        <f>'Invetario de Tablas'!B20</f>
        <v>notificacion</v>
      </c>
      <c r="D185" s="32"/>
      <c r="E185" s="32"/>
      <c r="F185" s="33"/>
      <c r="G185" s="70" t="s">
        <v>135</v>
      </c>
      <c r="H185" s="32"/>
      <c r="I185" s="32"/>
      <c r="J185" s="33"/>
      <c r="K185" s="81" t="str">
        <f>'Invetario de Tablas'!C20</f>
        <v>aviso sobre algun mensaje de la red social pascualina </v>
      </c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3"/>
      <c r="X185" s="73" t="s">
        <v>186</v>
      </c>
      <c r="Y185" s="74">
        <f>Y3</f>
        <v>46023</v>
      </c>
    </row>
    <row r="186" ht="45.75" customHeight="1">
      <c r="A186" s="75" t="s">
        <v>1</v>
      </c>
      <c r="B186" s="76" t="s">
        <v>187</v>
      </c>
      <c r="C186" s="78" t="s">
        <v>188</v>
      </c>
      <c r="D186" s="5"/>
      <c r="E186" s="5"/>
      <c r="F186" s="6"/>
      <c r="G186" s="78" t="s">
        <v>189</v>
      </c>
      <c r="H186" s="5"/>
      <c r="I186" s="5"/>
      <c r="J186" s="6"/>
      <c r="K186" s="78" t="s">
        <v>190</v>
      </c>
      <c r="L186" s="5"/>
      <c r="M186" s="5"/>
      <c r="N186" s="6"/>
      <c r="O186" s="78" t="s">
        <v>191</v>
      </c>
      <c r="P186" s="5"/>
      <c r="Q186" s="6"/>
      <c r="R186" s="78" t="s">
        <v>192</v>
      </c>
      <c r="S186" s="6"/>
      <c r="T186" s="78" t="s">
        <v>193</v>
      </c>
      <c r="U186" s="6"/>
      <c r="V186" s="78" t="s">
        <v>194</v>
      </c>
      <c r="W186" s="6"/>
      <c r="X186" s="78" t="s">
        <v>195</v>
      </c>
      <c r="Y186" s="40"/>
    </row>
    <row r="187" ht="45.75" customHeight="1">
      <c r="A187" s="79">
        <v>1.0</v>
      </c>
      <c r="B187" s="50" t="s">
        <v>323</v>
      </c>
      <c r="C187" s="51" t="s">
        <v>286</v>
      </c>
      <c r="D187" s="5"/>
      <c r="E187" s="5"/>
      <c r="F187" s="6"/>
      <c r="G187" s="52" t="s">
        <v>223</v>
      </c>
      <c r="H187" s="5"/>
      <c r="I187" s="5"/>
      <c r="J187" s="6"/>
      <c r="K187" s="52">
        <v>10.0</v>
      </c>
      <c r="L187" s="5"/>
      <c r="M187" s="5"/>
      <c r="N187" s="6"/>
      <c r="O187" s="52" t="s">
        <v>199</v>
      </c>
      <c r="P187" s="5"/>
      <c r="Q187" s="6"/>
      <c r="R187" s="54" t="s">
        <v>200</v>
      </c>
      <c r="S187" s="6"/>
      <c r="T187" s="53"/>
      <c r="U187" s="6"/>
      <c r="V187" s="53"/>
      <c r="W187" s="6"/>
      <c r="X187" s="53"/>
      <c r="Y187" s="6"/>
    </row>
    <row r="188" ht="45.75" customHeight="1">
      <c r="A188" s="79">
        <v>2.0</v>
      </c>
      <c r="B188" s="95" t="s">
        <v>324</v>
      </c>
      <c r="C188" s="51" t="s">
        <v>270</v>
      </c>
      <c r="D188" s="5"/>
      <c r="E188" s="5"/>
      <c r="F188" s="6"/>
      <c r="G188" s="52" t="s">
        <v>198</v>
      </c>
      <c r="H188" s="5"/>
      <c r="I188" s="5"/>
      <c r="J188" s="6"/>
      <c r="K188" s="52">
        <v>15.0</v>
      </c>
      <c r="L188" s="5"/>
      <c r="M188" s="5"/>
      <c r="N188" s="6"/>
      <c r="O188" s="52" t="s">
        <v>199</v>
      </c>
      <c r="P188" s="5"/>
      <c r="Q188" s="6"/>
      <c r="R188" s="53"/>
      <c r="S188" s="6"/>
      <c r="T188" s="54" t="s">
        <v>200</v>
      </c>
      <c r="U188" s="6"/>
      <c r="V188" s="53"/>
      <c r="W188" s="6"/>
      <c r="X188" s="53"/>
      <c r="Y188" s="6"/>
    </row>
    <row r="189" ht="45.75" customHeight="1">
      <c r="A189" s="79">
        <v>3.0</v>
      </c>
      <c r="B189" s="95" t="s">
        <v>325</v>
      </c>
      <c r="C189" s="51" t="s">
        <v>326</v>
      </c>
      <c r="D189" s="5"/>
      <c r="E189" s="5"/>
      <c r="F189" s="6"/>
      <c r="G189" s="52" t="s">
        <v>198</v>
      </c>
      <c r="H189" s="5"/>
      <c r="I189" s="5"/>
      <c r="J189" s="6"/>
      <c r="K189" s="52">
        <v>15.0</v>
      </c>
      <c r="L189" s="5"/>
      <c r="M189" s="5"/>
      <c r="N189" s="6"/>
      <c r="O189" s="52" t="s">
        <v>199</v>
      </c>
      <c r="P189" s="5"/>
      <c r="Q189" s="6"/>
      <c r="R189" s="53"/>
      <c r="S189" s="6"/>
      <c r="T189" s="54" t="s">
        <v>200</v>
      </c>
      <c r="U189" s="6"/>
      <c r="V189" s="53"/>
      <c r="W189" s="6"/>
      <c r="X189" s="53"/>
      <c r="Y189" s="6"/>
    </row>
    <row r="190" ht="45.75" customHeight="1">
      <c r="A190" s="79">
        <v>4.0</v>
      </c>
      <c r="B190" s="50" t="s">
        <v>327</v>
      </c>
      <c r="C190" s="51" t="s">
        <v>328</v>
      </c>
      <c r="D190" s="5"/>
      <c r="E190" s="5"/>
      <c r="F190" s="6"/>
      <c r="G190" s="52" t="s">
        <v>203</v>
      </c>
      <c r="H190" s="5"/>
      <c r="I190" s="5"/>
      <c r="J190" s="6"/>
      <c r="K190" s="52">
        <v>300.0</v>
      </c>
      <c r="L190" s="5"/>
      <c r="M190" s="5"/>
      <c r="N190" s="6"/>
      <c r="O190" s="52" t="s">
        <v>199</v>
      </c>
      <c r="P190" s="5"/>
      <c r="Q190" s="6"/>
      <c r="R190" s="53"/>
      <c r="S190" s="6"/>
      <c r="T190" s="53"/>
      <c r="U190" s="6"/>
      <c r="V190" s="53"/>
      <c r="W190" s="6"/>
      <c r="X190" s="53"/>
      <c r="Y190" s="6"/>
    </row>
    <row r="191" ht="45.75" customHeight="1">
      <c r="A191" s="79">
        <v>5.0</v>
      </c>
      <c r="B191" s="50" t="s">
        <v>329</v>
      </c>
      <c r="C191" s="51" t="s">
        <v>330</v>
      </c>
      <c r="D191" s="5"/>
      <c r="E191" s="5"/>
      <c r="F191" s="6"/>
      <c r="G191" s="52" t="s">
        <v>245</v>
      </c>
      <c r="H191" s="5"/>
      <c r="I191" s="5"/>
      <c r="J191" s="6"/>
      <c r="K191" s="52">
        <v>10.0</v>
      </c>
      <c r="L191" s="5"/>
      <c r="M191" s="5"/>
      <c r="N191" s="6"/>
      <c r="O191" s="52" t="s">
        <v>199</v>
      </c>
      <c r="P191" s="5"/>
      <c r="Q191" s="6"/>
      <c r="R191" s="53"/>
      <c r="S191" s="6"/>
      <c r="T191" s="53"/>
      <c r="U191" s="6"/>
      <c r="V191" s="53"/>
      <c r="W191" s="6"/>
      <c r="X191" s="53"/>
      <c r="Y191" s="6"/>
    </row>
    <row r="192" ht="45.75" customHeight="1"/>
    <row r="193" ht="45.75" customHeight="1"/>
    <row r="194" ht="45.75" customHeight="1"/>
    <row r="195" ht="45.75" customHeight="1"/>
    <row r="196" ht="45.75" customHeight="1"/>
    <row r="197" ht="45.75" customHeight="1">
      <c r="A197" s="63">
        <v>18.0</v>
      </c>
      <c r="B197" s="70" t="s">
        <v>134</v>
      </c>
      <c r="C197" s="71" t="str">
        <f>'Invetario de Tablas'!B21</f>
        <v>mensaje</v>
      </c>
      <c r="D197" s="32"/>
      <c r="E197" s="32"/>
      <c r="F197" s="33"/>
      <c r="G197" s="70" t="s">
        <v>135</v>
      </c>
      <c r="H197" s="32"/>
      <c r="I197" s="32"/>
      <c r="J197" s="33"/>
      <c r="K197" s="81" t="str">
        <f>'Invetario de Tablas'!C21</f>
        <v>interacción privada entre los usuarios a través de la red social</v>
      </c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3"/>
      <c r="X197" s="73" t="s">
        <v>186</v>
      </c>
      <c r="Y197" s="74">
        <f>Y3</f>
        <v>46023</v>
      </c>
    </row>
    <row r="198" ht="45.75" customHeight="1">
      <c r="A198" s="75" t="s">
        <v>1</v>
      </c>
      <c r="B198" s="76" t="s">
        <v>187</v>
      </c>
      <c r="C198" s="78" t="s">
        <v>188</v>
      </c>
      <c r="D198" s="5"/>
      <c r="E198" s="5"/>
      <c r="F198" s="6"/>
      <c r="G198" s="78" t="s">
        <v>189</v>
      </c>
      <c r="H198" s="5"/>
      <c r="I198" s="5"/>
      <c r="J198" s="6"/>
      <c r="K198" s="78" t="s">
        <v>190</v>
      </c>
      <c r="L198" s="5"/>
      <c r="M198" s="5"/>
      <c r="N198" s="6"/>
      <c r="O198" s="78" t="s">
        <v>191</v>
      </c>
      <c r="P198" s="5"/>
      <c r="Q198" s="6"/>
      <c r="R198" s="78" t="s">
        <v>192</v>
      </c>
      <c r="S198" s="6"/>
      <c r="T198" s="78" t="s">
        <v>193</v>
      </c>
      <c r="U198" s="6"/>
      <c r="V198" s="78" t="s">
        <v>194</v>
      </c>
      <c r="W198" s="6"/>
      <c r="X198" s="78" t="s">
        <v>195</v>
      </c>
      <c r="Y198" s="40"/>
    </row>
    <row r="199" ht="45.75" customHeight="1">
      <c r="A199" s="79">
        <v>1.0</v>
      </c>
      <c r="B199" s="50" t="s">
        <v>331</v>
      </c>
      <c r="C199" s="51" t="s">
        <v>332</v>
      </c>
      <c r="D199" s="5"/>
      <c r="E199" s="5"/>
      <c r="F199" s="6"/>
      <c r="G199" s="52" t="s">
        <v>198</v>
      </c>
      <c r="H199" s="5"/>
      <c r="I199" s="5"/>
      <c r="J199" s="6"/>
      <c r="K199" s="52">
        <v>15.0</v>
      </c>
      <c r="L199" s="5"/>
      <c r="M199" s="5"/>
      <c r="N199" s="6"/>
      <c r="O199" s="52" t="s">
        <v>199</v>
      </c>
      <c r="P199" s="5"/>
      <c r="Q199" s="6"/>
      <c r="R199" s="53"/>
      <c r="S199" s="6"/>
      <c r="T199" s="54" t="s">
        <v>200</v>
      </c>
      <c r="U199" s="6"/>
      <c r="V199" s="53"/>
      <c r="W199" s="6"/>
      <c r="X199" s="53"/>
      <c r="Y199" s="6"/>
    </row>
    <row r="200" ht="45.75" customHeight="1">
      <c r="A200" s="79">
        <v>2.0</v>
      </c>
      <c r="B200" s="50" t="s">
        <v>333</v>
      </c>
      <c r="C200" s="51" t="s">
        <v>334</v>
      </c>
      <c r="D200" s="5"/>
      <c r="E200" s="5"/>
      <c r="F200" s="6"/>
      <c r="G200" s="52" t="s">
        <v>198</v>
      </c>
      <c r="H200" s="5"/>
      <c r="I200" s="5"/>
      <c r="J200" s="6"/>
      <c r="K200" s="52">
        <v>15.0</v>
      </c>
      <c r="L200" s="5"/>
      <c r="M200" s="5"/>
      <c r="N200" s="6"/>
      <c r="O200" s="52" t="s">
        <v>199</v>
      </c>
      <c r="P200" s="5"/>
      <c r="Q200" s="6"/>
      <c r="R200" s="53"/>
      <c r="S200" s="6"/>
      <c r="T200" s="54" t="s">
        <v>200</v>
      </c>
      <c r="U200" s="6"/>
      <c r="V200" s="53"/>
      <c r="W200" s="6"/>
      <c r="X200" s="53"/>
      <c r="Y200" s="6"/>
    </row>
    <row r="201" ht="45.75" customHeight="1">
      <c r="A201" s="79">
        <v>3.0</v>
      </c>
      <c r="B201" s="50" t="s">
        <v>335</v>
      </c>
      <c r="C201" s="51" t="s">
        <v>336</v>
      </c>
      <c r="D201" s="5"/>
      <c r="E201" s="5"/>
      <c r="F201" s="6"/>
      <c r="G201" s="52" t="s">
        <v>203</v>
      </c>
      <c r="H201" s="5"/>
      <c r="I201" s="5"/>
      <c r="J201" s="6"/>
      <c r="K201" s="52">
        <v>200.0</v>
      </c>
      <c r="L201" s="5"/>
      <c r="M201" s="5"/>
      <c r="N201" s="6"/>
      <c r="O201" s="52" t="s">
        <v>199</v>
      </c>
      <c r="P201" s="5"/>
      <c r="Q201" s="6"/>
      <c r="R201" s="53"/>
      <c r="S201" s="6"/>
      <c r="T201" s="53"/>
      <c r="U201" s="6"/>
      <c r="V201" s="53"/>
      <c r="W201" s="6"/>
      <c r="X201" s="53"/>
      <c r="Y201" s="6"/>
    </row>
    <row r="202" ht="45.75" customHeight="1">
      <c r="A202" s="79">
        <v>4.0</v>
      </c>
      <c r="B202" s="50" t="s">
        <v>337</v>
      </c>
      <c r="C202" s="51" t="s">
        <v>338</v>
      </c>
      <c r="D202" s="5"/>
      <c r="E202" s="5"/>
      <c r="F202" s="6"/>
      <c r="G202" s="52" t="s">
        <v>223</v>
      </c>
      <c r="H202" s="5"/>
      <c r="I202" s="5"/>
      <c r="J202" s="6"/>
      <c r="K202" s="52">
        <v>15.0</v>
      </c>
      <c r="L202" s="5"/>
      <c r="M202" s="5"/>
      <c r="N202" s="6"/>
      <c r="O202" s="52" t="s">
        <v>199</v>
      </c>
      <c r="P202" s="5"/>
      <c r="Q202" s="6"/>
      <c r="R202" s="54" t="s">
        <v>200</v>
      </c>
      <c r="S202" s="6"/>
      <c r="T202" s="53"/>
      <c r="U202" s="6"/>
      <c r="V202" s="53"/>
      <c r="W202" s="6"/>
      <c r="X202" s="53"/>
      <c r="Y202" s="6"/>
    </row>
    <row r="203" ht="45.75" customHeight="1">
      <c r="A203" s="79">
        <v>5.0</v>
      </c>
      <c r="B203" s="50" t="s">
        <v>339</v>
      </c>
      <c r="C203" s="51" t="s">
        <v>336</v>
      </c>
      <c r="D203" s="5"/>
      <c r="E203" s="5"/>
      <c r="F203" s="6"/>
      <c r="G203" s="52" t="s">
        <v>245</v>
      </c>
      <c r="H203" s="5"/>
      <c r="I203" s="5"/>
      <c r="J203" s="6"/>
      <c r="K203" s="52">
        <v>10.0</v>
      </c>
      <c r="L203" s="5"/>
      <c r="M203" s="5"/>
      <c r="N203" s="6"/>
      <c r="O203" s="52" t="s">
        <v>199</v>
      </c>
      <c r="P203" s="5"/>
      <c r="Q203" s="6"/>
      <c r="R203" s="53"/>
      <c r="S203" s="6"/>
      <c r="T203" s="53"/>
      <c r="U203" s="6"/>
      <c r="V203" s="53"/>
      <c r="W203" s="6"/>
      <c r="X203" s="53"/>
      <c r="Y203" s="6"/>
    </row>
    <row r="204" ht="45.75" customHeight="1"/>
    <row r="205" ht="45.75" customHeight="1"/>
    <row r="206" ht="45.75" customHeight="1"/>
    <row r="207" ht="45.75" customHeight="1"/>
    <row r="208" ht="45.75" customHeight="1"/>
    <row r="209" ht="45.75" customHeight="1">
      <c r="A209" s="63">
        <v>19.0</v>
      </c>
      <c r="B209" s="70" t="s">
        <v>134</v>
      </c>
      <c r="C209" s="71" t="str">
        <f>'Invetario de Tablas'!B22</f>
        <v>solicitud_servicio</v>
      </c>
      <c r="D209" s="32"/>
      <c r="E209" s="32"/>
      <c r="F209" s="33"/>
      <c r="G209" s="70" t="s">
        <v>135</v>
      </c>
      <c r="H209" s="32"/>
      <c r="I209" s="32"/>
      <c r="J209" s="33"/>
      <c r="K209" s="81" t="str">
        <f>'Invetario de Tablas'!C22</f>
        <v>interaccion de un usuario de un tipo de servicio</v>
      </c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3"/>
      <c r="X209" s="73" t="s">
        <v>186</v>
      </c>
      <c r="Y209" s="74">
        <f>Y3</f>
        <v>46023</v>
      </c>
    </row>
    <row r="210" ht="45.75" customHeight="1">
      <c r="A210" s="75" t="s">
        <v>1</v>
      </c>
      <c r="B210" s="76" t="s">
        <v>187</v>
      </c>
      <c r="C210" s="78" t="s">
        <v>188</v>
      </c>
      <c r="D210" s="5"/>
      <c r="E210" s="5"/>
      <c r="F210" s="6"/>
      <c r="G210" s="78" t="s">
        <v>189</v>
      </c>
      <c r="H210" s="5"/>
      <c r="I210" s="5"/>
      <c r="J210" s="6"/>
      <c r="K210" s="78" t="s">
        <v>190</v>
      </c>
      <c r="L210" s="5"/>
      <c r="M210" s="5"/>
      <c r="N210" s="6"/>
      <c r="O210" s="78" t="s">
        <v>191</v>
      </c>
      <c r="P210" s="5"/>
      <c r="Q210" s="6"/>
      <c r="R210" s="78" t="s">
        <v>192</v>
      </c>
      <c r="S210" s="6"/>
      <c r="T210" s="78" t="s">
        <v>193</v>
      </c>
      <c r="U210" s="6"/>
      <c r="V210" s="78" t="s">
        <v>194</v>
      </c>
      <c r="W210" s="6"/>
      <c r="X210" s="78" t="s">
        <v>195</v>
      </c>
      <c r="Y210" s="40"/>
    </row>
    <row r="211" ht="45.75" customHeight="1">
      <c r="A211" s="79">
        <v>1.0</v>
      </c>
      <c r="B211" s="96" t="s">
        <v>340</v>
      </c>
      <c r="C211" s="51" t="s">
        <v>341</v>
      </c>
      <c r="D211" s="5"/>
      <c r="E211" s="5"/>
      <c r="F211" s="6"/>
      <c r="G211" s="52" t="s">
        <v>223</v>
      </c>
      <c r="H211" s="5"/>
      <c r="I211" s="5"/>
      <c r="J211" s="6"/>
      <c r="K211" s="52">
        <v>5.0</v>
      </c>
      <c r="L211" s="5"/>
      <c r="M211" s="5"/>
      <c r="N211" s="6"/>
      <c r="O211" s="52" t="s">
        <v>199</v>
      </c>
      <c r="P211" s="5"/>
      <c r="Q211" s="6"/>
      <c r="R211" s="54" t="s">
        <v>200</v>
      </c>
      <c r="S211" s="6"/>
      <c r="T211" s="53"/>
      <c r="U211" s="6"/>
      <c r="V211" s="53"/>
      <c r="W211" s="6"/>
      <c r="X211" s="53"/>
      <c r="Y211" s="6"/>
    </row>
    <row r="212" ht="45.75" customHeight="1">
      <c r="A212" s="79">
        <v>2.0</v>
      </c>
      <c r="B212" s="96" t="s">
        <v>196</v>
      </c>
      <c r="C212" s="51" t="s">
        <v>197</v>
      </c>
      <c r="D212" s="5"/>
      <c r="E212" s="5"/>
      <c r="F212" s="6"/>
      <c r="G212" s="52" t="s">
        <v>198</v>
      </c>
      <c r="H212" s="5"/>
      <c r="I212" s="5"/>
      <c r="J212" s="6"/>
      <c r="K212" s="52">
        <v>15.0</v>
      </c>
      <c r="L212" s="5"/>
      <c r="M212" s="5"/>
      <c r="N212" s="6"/>
      <c r="O212" s="52" t="s">
        <v>199</v>
      </c>
      <c r="P212" s="5"/>
      <c r="Q212" s="6"/>
      <c r="R212" s="53"/>
      <c r="S212" s="6"/>
      <c r="T212" s="54" t="s">
        <v>200</v>
      </c>
      <c r="U212" s="6"/>
      <c r="V212" s="53"/>
      <c r="W212" s="6"/>
      <c r="X212" s="53"/>
      <c r="Y212" s="6"/>
    </row>
    <row r="213" ht="45.75" customHeight="1">
      <c r="A213" s="79">
        <v>3.0</v>
      </c>
      <c r="B213" s="96" t="s">
        <v>342</v>
      </c>
      <c r="C213" s="51" t="s">
        <v>343</v>
      </c>
      <c r="D213" s="5"/>
      <c r="E213" s="5"/>
      <c r="F213" s="6"/>
      <c r="G213" s="52" t="s">
        <v>245</v>
      </c>
      <c r="H213" s="5"/>
      <c r="I213" s="5"/>
      <c r="J213" s="6"/>
      <c r="K213" s="52">
        <v>10.0</v>
      </c>
      <c r="L213" s="5"/>
      <c r="M213" s="5"/>
      <c r="N213" s="6"/>
      <c r="O213" s="52" t="s">
        <v>199</v>
      </c>
      <c r="P213" s="5"/>
      <c r="Q213" s="6"/>
      <c r="R213" s="53"/>
      <c r="S213" s="6"/>
      <c r="T213" s="53"/>
      <c r="U213" s="6"/>
      <c r="V213" s="53"/>
      <c r="W213" s="6"/>
      <c r="X213" s="53"/>
      <c r="Y213" s="6"/>
    </row>
    <row r="214" ht="45.75" customHeight="1">
      <c r="A214" s="79">
        <v>4.0</v>
      </c>
      <c r="B214" s="96" t="s">
        <v>344</v>
      </c>
      <c r="C214" s="51" t="s">
        <v>345</v>
      </c>
      <c r="D214" s="5"/>
      <c r="E214" s="5"/>
      <c r="F214" s="6"/>
      <c r="G214" s="52" t="s">
        <v>203</v>
      </c>
      <c r="H214" s="5"/>
      <c r="I214" s="5"/>
      <c r="J214" s="6"/>
      <c r="K214" s="52">
        <v>10.0</v>
      </c>
      <c r="L214" s="5"/>
      <c r="M214" s="5"/>
      <c r="N214" s="6"/>
      <c r="O214" s="52" t="s">
        <v>206</v>
      </c>
      <c r="P214" s="5"/>
      <c r="Q214" s="6"/>
      <c r="R214" s="53"/>
      <c r="S214" s="6"/>
      <c r="T214" s="53"/>
      <c r="U214" s="6"/>
      <c r="V214" s="53"/>
      <c r="W214" s="6"/>
      <c r="X214" s="53"/>
      <c r="Y214" s="6"/>
    </row>
    <row r="215" ht="45.75" customHeight="1">
      <c r="A215" s="79">
        <v>5.0</v>
      </c>
      <c r="B215" s="96" t="s">
        <v>346</v>
      </c>
      <c r="C215" s="51" t="s">
        <v>347</v>
      </c>
      <c r="D215" s="5"/>
      <c r="E215" s="5"/>
      <c r="F215" s="6"/>
      <c r="G215" s="52" t="s">
        <v>281</v>
      </c>
      <c r="H215" s="5"/>
      <c r="I215" s="5"/>
      <c r="J215" s="6"/>
      <c r="K215" s="52">
        <v>10.2</v>
      </c>
      <c r="L215" s="5"/>
      <c r="M215" s="5"/>
      <c r="N215" s="6"/>
      <c r="O215" s="52" t="s">
        <v>199</v>
      </c>
      <c r="P215" s="5"/>
      <c r="Q215" s="6"/>
      <c r="R215" s="53"/>
      <c r="S215" s="6"/>
      <c r="T215" s="53"/>
      <c r="U215" s="6"/>
      <c r="V215" s="53"/>
      <c r="W215" s="6"/>
      <c r="X215" s="53"/>
      <c r="Y215" s="6"/>
    </row>
    <row r="216" ht="45.75" customHeight="1"/>
    <row r="217" ht="45.75" customHeight="1"/>
    <row r="218" ht="45.75" customHeight="1"/>
    <row r="219" ht="45.75" customHeight="1"/>
    <row r="220" ht="45.75" customHeight="1"/>
    <row r="221" ht="45.75" customHeight="1">
      <c r="A221" s="63">
        <v>20.0</v>
      </c>
      <c r="B221" s="70" t="s">
        <v>134</v>
      </c>
      <c r="C221" s="71" t="str">
        <f>'Invetario de Tablas'!B23</f>
        <v>miembro_grupo</v>
      </c>
      <c r="D221" s="32"/>
      <c r="E221" s="32"/>
      <c r="F221" s="33"/>
      <c r="G221" s="70" t="s">
        <v>135</v>
      </c>
      <c r="H221" s="32"/>
      <c r="I221" s="32"/>
      <c r="J221" s="33"/>
      <c r="K221" s="81" t="str">
        <f>'Invetario de Tablas'!C23</f>
        <v>interaccion de un usuario a un grupo</v>
      </c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3"/>
      <c r="X221" s="73" t="s">
        <v>186</v>
      </c>
      <c r="Y221" s="74">
        <f>Y3</f>
        <v>46023</v>
      </c>
    </row>
    <row r="222" ht="45.75" customHeight="1">
      <c r="A222" s="75" t="s">
        <v>1</v>
      </c>
      <c r="B222" s="76" t="s">
        <v>187</v>
      </c>
      <c r="C222" s="78" t="s">
        <v>188</v>
      </c>
      <c r="D222" s="5"/>
      <c r="E222" s="5"/>
      <c r="F222" s="6"/>
      <c r="G222" s="78" t="s">
        <v>189</v>
      </c>
      <c r="H222" s="5"/>
      <c r="I222" s="5"/>
      <c r="J222" s="6"/>
      <c r="K222" s="78" t="s">
        <v>190</v>
      </c>
      <c r="L222" s="5"/>
      <c r="M222" s="5"/>
      <c r="N222" s="6"/>
      <c r="O222" s="78" t="s">
        <v>191</v>
      </c>
      <c r="P222" s="5"/>
      <c r="Q222" s="6"/>
      <c r="R222" s="78" t="s">
        <v>192</v>
      </c>
      <c r="S222" s="6"/>
      <c r="T222" s="78" t="s">
        <v>193</v>
      </c>
      <c r="U222" s="6"/>
      <c r="V222" s="78" t="s">
        <v>194</v>
      </c>
      <c r="W222" s="6"/>
      <c r="X222" s="78" t="s">
        <v>195</v>
      </c>
      <c r="Y222" s="40"/>
    </row>
    <row r="223" ht="45.75" customHeight="1">
      <c r="A223" s="79">
        <v>1.0</v>
      </c>
      <c r="B223" s="96" t="s">
        <v>196</v>
      </c>
      <c r="C223" s="51" t="s">
        <v>348</v>
      </c>
      <c r="D223" s="5"/>
      <c r="E223" s="5"/>
      <c r="F223" s="6"/>
      <c r="G223" s="52" t="s">
        <v>198</v>
      </c>
      <c r="H223" s="5"/>
      <c r="I223" s="5"/>
      <c r="J223" s="6"/>
      <c r="K223" s="52">
        <v>15.0</v>
      </c>
      <c r="L223" s="5"/>
      <c r="M223" s="5"/>
      <c r="N223" s="6"/>
      <c r="O223" s="52" t="s">
        <v>199</v>
      </c>
      <c r="P223" s="5"/>
      <c r="Q223" s="6"/>
      <c r="R223" s="53"/>
      <c r="S223" s="6"/>
      <c r="T223" s="54" t="s">
        <v>200</v>
      </c>
      <c r="U223" s="6"/>
      <c r="V223" s="53"/>
      <c r="W223" s="6"/>
      <c r="X223" s="53"/>
      <c r="Y223" s="6"/>
    </row>
    <row r="224" ht="45.75" customHeight="1">
      <c r="A224" s="79">
        <v>2.0</v>
      </c>
      <c r="B224" s="96" t="s">
        <v>257</v>
      </c>
      <c r="C224" s="51" t="s">
        <v>269</v>
      </c>
      <c r="D224" s="5"/>
      <c r="E224" s="5"/>
      <c r="F224" s="6"/>
      <c r="G224" s="52" t="s">
        <v>198</v>
      </c>
      <c r="H224" s="5"/>
      <c r="I224" s="5"/>
      <c r="J224" s="6"/>
      <c r="K224" s="52">
        <v>5.0</v>
      </c>
      <c r="L224" s="5"/>
      <c r="M224" s="5"/>
      <c r="N224" s="6"/>
      <c r="O224" s="52" t="s">
        <v>199</v>
      </c>
      <c r="P224" s="5"/>
      <c r="Q224" s="6"/>
      <c r="R224" s="53"/>
      <c r="S224" s="6"/>
      <c r="T224" s="54" t="s">
        <v>200</v>
      </c>
      <c r="U224" s="6"/>
      <c r="V224" s="53"/>
      <c r="W224" s="6"/>
      <c r="X224" s="53"/>
      <c r="Y224" s="6"/>
    </row>
    <row r="225" ht="45.75" customHeight="1">
      <c r="A225" s="85">
        <v>3.0</v>
      </c>
      <c r="B225" s="97" t="s">
        <v>349</v>
      </c>
      <c r="C225" s="87" t="s">
        <v>350</v>
      </c>
      <c r="D225" s="88"/>
      <c r="E225" s="88"/>
      <c r="F225" s="89"/>
      <c r="G225" s="90" t="s">
        <v>245</v>
      </c>
      <c r="H225" s="88"/>
      <c r="I225" s="88"/>
      <c r="J225" s="89"/>
      <c r="K225" s="90">
        <v>10.0</v>
      </c>
      <c r="L225" s="88"/>
      <c r="M225" s="88"/>
      <c r="N225" s="89"/>
      <c r="O225" s="90" t="s">
        <v>199</v>
      </c>
      <c r="P225" s="88"/>
      <c r="Q225" s="89"/>
      <c r="R225" s="91"/>
      <c r="S225" s="89"/>
      <c r="T225" s="91"/>
      <c r="U225" s="89"/>
      <c r="V225" s="91"/>
      <c r="W225" s="89"/>
      <c r="X225" s="91"/>
      <c r="Y225" s="89"/>
    </row>
    <row r="226" ht="45.75" customHeight="1">
      <c r="A226" s="98"/>
      <c r="B226" s="99"/>
      <c r="C226" s="99"/>
      <c r="D226" s="88"/>
      <c r="E226" s="88"/>
      <c r="F226" s="88"/>
      <c r="G226" s="99"/>
      <c r="H226" s="88"/>
      <c r="I226" s="88"/>
      <c r="J226" s="88"/>
      <c r="K226" s="99"/>
      <c r="L226" s="88"/>
      <c r="M226" s="88"/>
      <c r="N226" s="88"/>
      <c r="O226" s="99"/>
      <c r="P226" s="88"/>
      <c r="Q226" s="88"/>
      <c r="R226" s="99"/>
      <c r="S226" s="88"/>
      <c r="T226" s="99"/>
      <c r="U226" s="88"/>
      <c r="V226" s="99"/>
      <c r="W226" s="88"/>
      <c r="X226" s="99"/>
      <c r="Y226" s="88"/>
    </row>
    <row r="227" ht="45.75" customHeight="1">
      <c r="A227" s="83"/>
      <c r="B227" s="84"/>
      <c r="C227" s="84"/>
      <c r="G227" s="84"/>
      <c r="K227" s="84"/>
      <c r="O227" s="84"/>
      <c r="R227" s="84"/>
      <c r="T227" s="84"/>
      <c r="V227" s="84"/>
      <c r="X227" s="84"/>
    </row>
    <row r="228" ht="45.75" customHeight="1"/>
    <row r="229" ht="45.75" customHeight="1"/>
    <row r="230" ht="45.75" customHeight="1"/>
    <row r="231" ht="45.75" customHeight="1"/>
    <row r="232" ht="45.75" customHeight="1"/>
    <row r="233" ht="45.75" customHeight="1">
      <c r="A233" s="63">
        <v>21.0</v>
      </c>
      <c r="B233" s="70" t="s">
        <v>134</v>
      </c>
      <c r="C233" s="71" t="str">
        <f>'Invetario de Tablas'!B24</f>
        <v>inscripcion_evento</v>
      </c>
      <c r="D233" s="32"/>
      <c r="E233" s="32"/>
      <c r="F233" s="33"/>
      <c r="G233" s="70" t="s">
        <v>135</v>
      </c>
      <c r="H233" s="32"/>
      <c r="I233" s="32"/>
      <c r="J233" s="33"/>
      <c r="K233" s="81" t="str">
        <f>'Invetario de Tablas'!C24</f>
        <v>interaccion de un usuario a un evento</v>
      </c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3"/>
      <c r="X233" s="73" t="s">
        <v>186</v>
      </c>
      <c r="Y233" s="74">
        <f>Y3</f>
        <v>46023</v>
      </c>
    </row>
    <row r="234" ht="45.75" customHeight="1">
      <c r="A234" s="75" t="s">
        <v>1</v>
      </c>
      <c r="B234" s="76" t="s">
        <v>187</v>
      </c>
      <c r="C234" s="78" t="s">
        <v>188</v>
      </c>
      <c r="D234" s="5"/>
      <c r="E234" s="5"/>
      <c r="F234" s="6"/>
      <c r="G234" s="78" t="s">
        <v>189</v>
      </c>
      <c r="H234" s="5"/>
      <c r="I234" s="5"/>
      <c r="J234" s="6"/>
      <c r="K234" s="78" t="s">
        <v>190</v>
      </c>
      <c r="L234" s="5"/>
      <c r="M234" s="5"/>
      <c r="N234" s="6"/>
      <c r="O234" s="78" t="s">
        <v>191</v>
      </c>
      <c r="P234" s="5"/>
      <c r="Q234" s="6"/>
      <c r="R234" s="78" t="s">
        <v>192</v>
      </c>
      <c r="S234" s="6"/>
      <c r="T234" s="78" t="s">
        <v>193</v>
      </c>
      <c r="U234" s="6"/>
      <c r="V234" s="78" t="s">
        <v>194</v>
      </c>
      <c r="W234" s="6"/>
      <c r="X234" s="78" t="s">
        <v>195</v>
      </c>
      <c r="Y234" s="40"/>
    </row>
    <row r="235" ht="45.75" customHeight="1">
      <c r="A235" s="79">
        <v>1.0</v>
      </c>
      <c r="B235" s="96" t="s">
        <v>196</v>
      </c>
      <c r="C235" s="51" t="s">
        <v>351</v>
      </c>
      <c r="D235" s="5"/>
      <c r="E235" s="5"/>
      <c r="F235" s="6"/>
      <c r="G235" s="52" t="s">
        <v>198</v>
      </c>
      <c r="H235" s="5"/>
      <c r="I235" s="5"/>
      <c r="J235" s="6"/>
      <c r="K235" s="52">
        <v>15.0</v>
      </c>
      <c r="L235" s="5"/>
      <c r="M235" s="5"/>
      <c r="N235" s="6"/>
      <c r="O235" s="52" t="s">
        <v>199</v>
      </c>
      <c r="P235" s="5"/>
      <c r="Q235" s="6"/>
      <c r="R235" s="53"/>
      <c r="S235" s="6"/>
      <c r="T235" s="54" t="s">
        <v>200</v>
      </c>
      <c r="U235" s="6"/>
      <c r="V235" s="53"/>
      <c r="W235" s="6"/>
      <c r="X235" s="53"/>
      <c r="Y235" s="6"/>
    </row>
    <row r="236" ht="45.75" customHeight="1">
      <c r="A236" s="79">
        <v>2.0</v>
      </c>
      <c r="B236" s="96" t="s">
        <v>298</v>
      </c>
      <c r="C236" s="51" t="s">
        <v>352</v>
      </c>
      <c r="D236" s="5"/>
      <c r="E236" s="5"/>
      <c r="F236" s="6"/>
      <c r="G236" s="52" t="s">
        <v>198</v>
      </c>
      <c r="H236" s="5"/>
      <c r="I236" s="5"/>
      <c r="J236" s="6"/>
      <c r="K236" s="52">
        <v>5.0</v>
      </c>
      <c r="L236" s="5"/>
      <c r="M236" s="5"/>
      <c r="N236" s="6"/>
      <c r="O236" s="52" t="s">
        <v>199</v>
      </c>
      <c r="P236" s="5"/>
      <c r="Q236" s="6"/>
      <c r="R236" s="53"/>
      <c r="S236" s="6"/>
      <c r="T236" s="54" t="s">
        <v>200</v>
      </c>
      <c r="U236" s="6"/>
      <c r="V236" s="53"/>
      <c r="W236" s="6"/>
      <c r="X236" s="53"/>
      <c r="Y236" s="6"/>
    </row>
    <row r="237" ht="45.75" customHeight="1">
      <c r="A237" s="85">
        <v>3.0</v>
      </c>
      <c r="B237" s="97" t="s">
        <v>353</v>
      </c>
      <c r="C237" s="87" t="s">
        <v>354</v>
      </c>
      <c r="D237" s="88"/>
      <c r="E237" s="88"/>
      <c r="F237" s="89"/>
      <c r="G237" s="90" t="s">
        <v>245</v>
      </c>
      <c r="H237" s="88"/>
      <c r="I237" s="88"/>
      <c r="J237" s="89"/>
      <c r="K237" s="90">
        <v>10.0</v>
      </c>
      <c r="L237" s="88"/>
      <c r="M237" s="88"/>
      <c r="N237" s="89"/>
      <c r="O237" s="90" t="s">
        <v>199</v>
      </c>
      <c r="P237" s="88"/>
      <c r="Q237" s="89"/>
      <c r="R237" s="91"/>
      <c r="S237" s="89"/>
      <c r="T237" s="91"/>
      <c r="U237" s="89"/>
      <c r="V237" s="91"/>
      <c r="W237" s="89"/>
      <c r="X237" s="91"/>
      <c r="Y237" s="89"/>
    </row>
    <row r="238" ht="45.75" customHeight="1">
      <c r="A238" s="98">
        <v>4.0</v>
      </c>
      <c r="B238" s="99"/>
      <c r="C238" s="99"/>
      <c r="D238" s="88"/>
      <c r="E238" s="88"/>
      <c r="F238" s="88"/>
      <c r="G238" s="99"/>
      <c r="H238" s="88"/>
      <c r="I238" s="88"/>
      <c r="J238" s="88"/>
      <c r="K238" s="99"/>
      <c r="L238" s="88"/>
      <c r="M238" s="88"/>
      <c r="N238" s="88"/>
      <c r="O238" s="99"/>
      <c r="P238" s="88"/>
      <c r="Q238" s="88"/>
      <c r="R238" s="99"/>
      <c r="S238" s="88"/>
      <c r="T238" s="99"/>
      <c r="U238" s="88"/>
      <c r="V238" s="99"/>
      <c r="W238" s="88"/>
      <c r="X238" s="99"/>
      <c r="Y238" s="88"/>
    </row>
    <row r="239" ht="45.75" customHeight="1">
      <c r="A239" s="83">
        <v>5.0</v>
      </c>
      <c r="B239" s="84"/>
      <c r="C239" s="84"/>
      <c r="G239" s="84"/>
      <c r="K239" s="84"/>
      <c r="O239" s="84"/>
      <c r="R239" s="84"/>
      <c r="T239" s="84"/>
      <c r="V239" s="84"/>
      <c r="X239" s="84"/>
    </row>
    <row r="240" ht="45.75" customHeight="1"/>
    <row r="241" ht="45.75" customHeight="1"/>
    <row r="242" ht="45.75" customHeight="1"/>
    <row r="243" ht="45.75" customHeight="1"/>
    <row r="244" ht="45.75" customHeight="1"/>
    <row r="245" ht="45.75" customHeight="1">
      <c r="A245" s="63">
        <v>22.0</v>
      </c>
      <c r="B245" s="70" t="s">
        <v>134</v>
      </c>
      <c r="C245" s="71" t="str">
        <f>'Invetario de Tablas'!B25</f>
        <v>reaccion_comentario</v>
      </c>
      <c r="D245" s="32"/>
      <c r="E245" s="32"/>
      <c r="F245" s="33"/>
      <c r="G245" s="70" t="s">
        <v>135</v>
      </c>
      <c r="H245" s="32"/>
      <c r="I245" s="32"/>
      <c r="J245" s="33"/>
      <c r="K245" s="81" t="str">
        <f>'Invetario de Tablas'!C25</f>
        <v>Cantidad de reacciones que recibe un comentario</v>
      </c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3"/>
      <c r="X245" s="73" t="s">
        <v>186</v>
      </c>
      <c r="Y245" s="74">
        <f>Y3</f>
        <v>46023</v>
      </c>
    </row>
    <row r="246" ht="45.75" customHeight="1">
      <c r="A246" s="75" t="s">
        <v>1</v>
      </c>
      <c r="B246" s="76" t="s">
        <v>187</v>
      </c>
      <c r="C246" s="78" t="s">
        <v>188</v>
      </c>
      <c r="D246" s="5"/>
      <c r="E246" s="5"/>
      <c r="F246" s="6"/>
      <c r="G246" s="78" t="s">
        <v>189</v>
      </c>
      <c r="H246" s="5"/>
      <c r="I246" s="5"/>
      <c r="J246" s="6"/>
      <c r="K246" s="78" t="s">
        <v>190</v>
      </c>
      <c r="L246" s="5"/>
      <c r="M246" s="5"/>
      <c r="N246" s="6"/>
      <c r="O246" s="78" t="s">
        <v>191</v>
      </c>
      <c r="P246" s="5"/>
      <c r="Q246" s="6"/>
      <c r="R246" s="78" t="s">
        <v>192</v>
      </c>
      <c r="S246" s="6"/>
      <c r="T246" s="78" t="s">
        <v>193</v>
      </c>
      <c r="U246" s="6"/>
      <c r="V246" s="78" t="s">
        <v>194</v>
      </c>
      <c r="W246" s="6"/>
      <c r="X246" s="78" t="s">
        <v>195</v>
      </c>
      <c r="Y246" s="40"/>
    </row>
    <row r="247" ht="45.75" customHeight="1">
      <c r="A247" s="79">
        <v>1.0</v>
      </c>
      <c r="B247" s="96" t="s">
        <v>196</v>
      </c>
      <c r="C247" s="51" t="s">
        <v>355</v>
      </c>
      <c r="D247" s="5"/>
      <c r="E247" s="5"/>
      <c r="F247" s="6"/>
      <c r="G247" s="52" t="s">
        <v>198</v>
      </c>
      <c r="H247" s="5"/>
      <c r="I247" s="5"/>
      <c r="J247" s="6"/>
      <c r="K247" s="52">
        <v>15.0</v>
      </c>
      <c r="L247" s="5"/>
      <c r="M247" s="5"/>
      <c r="N247" s="6"/>
      <c r="O247" s="52" t="s">
        <v>199</v>
      </c>
      <c r="P247" s="5"/>
      <c r="Q247" s="6"/>
      <c r="R247" s="53"/>
      <c r="S247" s="6"/>
      <c r="T247" s="54" t="s">
        <v>200</v>
      </c>
      <c r="U247" s="6"/>
      <c r="V247" s="53"/>
      <c r="W247" s="6"/>
      <c r="X247" s="53"/>
      <c r="Y247" s="6"/>
    </row>
    <row r="248" ht="45.75" customHeight="1">
      <c r="A248" s="79">
        <v>2.0</v>
      </c>
      <c r="B248" s="96" t="s">
        <v>356</v>
      </c>
      <c r="C248" s="51" t="s">
        <v>357</v>
      </c>
      <c r="D248" s="5"/>
      <c r="E248" s="5"/>
      <c r="F248" s="6"/>
      <c r="G248" s="52" t="s">
        <v>223</v>
      </c>
      <c r="H248" s="5"/>
      <c r="I248" s="5"/>
      <c r="J248" s="6"/>
      <c r="K248" s="52">
        <v>20.0</v>
      </c>
      <c r="L248" s="5"/>
      <c r="M248" s="5"/>
      <c r="N248" s="6"/>
      <c r="O248" s="52" t="s">
        <v>199</v>
      </c>
      <c r="P248" s="5"/>
      <c r="Q248" s="6"/>
      <c r="R248" s="54" t="s">
        <v>200</v>
      </c>
      <c r="S248" s="6"/>
      <c r="T248" s="53"/>
      <c r="U248" s="6"/>
      <c r="V248" s="53"/>
      <c r="W248" s="6"/>
      <c r="X248" s="53"/>
      <c r="Y248" s="6"/>
    </row>
    <row r="249" ht="45.75" customHeight="1">
      <c r="A249" s="79">
        <v>3.0</v>
      </c>
      <c r="B249" s="96" t="s">
        <v>246</v>
      </c>
      <c r="C249" s="51" t="s">
        <v>358</v>
      </c>
      <c r="D249" s="5"/>
      <c r="E249" s="5"/>
      <c r="F249" s="6"/>
      <c r="G249" s="52" t="s">
        <v>198</v>
      </c>
      <c r="H249" s="5"/>
      <c r="I249" s="5"/>
      <c r="J249" s="6"/>
      <c r="K249" s="52">
        <v>20.0</v>
      </c>
      <c r="L249" s="5"/>
      <c r="M249" s="5"/>
      <c r="N249" s="6"/>
      <c r="O249" s="52" t="s">
        <v>199</v>
      </c>
      <c r="P249" s="5"/>
      <c r="Q249" s="6"/>
      <c r="R249" s="53"/>
      <c r="S249" s="6"/>
      <c r="T249" s="54" t="s">
        <v>200</v>
      </c>
      <c r="U249" s="6"/>
      <c r="V249" s="53"/>
      <c r="W249" s="6"/>
      <c r="X249" s="53"/>
      <c r="Y249" s="6"/>
    </row>
    <row r="250" ht="45.75" customHeight="1">
      <c r="A250" s="79">
        <v>4.0</v>
      </c>
      <c r="B250" s="96" t="s">
        <v>359</v>
      </c>
      <c r="C250" s="51" t="s">
        <v>360</v>
      </c>
      <c r="D250" s="5"/>
      <c r="E250" s="5"/>
      <c r="F250" s="6"/>
      <c r="G250" s="52" t="s">
        <v>203</v>
      </c>
      <c r="H250" s="5"/>
      <c r="I250" s="5"/>
      <c r="J250" s="6"/>
      <c r="K250" s="52">
        <v>200.0</v>
      </c>
      <c r="L250" s="5"/>
      <c r="M250" s="5"/>
      <c r="N250" s="6"/>
      <c r="O250" s="52" t="s">
        <v>199</v>
      </c>
      <c r="P250" s="5"/>
      <c r="Q250" s="6"/>
      <c r="R250" s="53"/>
      <c r="S250" s="6"/>
      <c r="T250" s="53"/>
      <c r="U250" s="6"/>
      <c r="V250" s="53"/>
      <c r="W250" s="6"/>
      <c r="X250" s="53"/>
      <c r="Y250" s="6"/>
    </row>
    <row r="251" ht="45.75" customHeight="1">
      <c r="A251" s="79">
        <v>5.0</v>
      </c>
      <c r="B251" s="96" t="s">
        <v>361</v>
      </c>
      <c r="C251" s="51" t="s">
        <v>362</v>
      </c>
      <c r="D251" s="5"/>
      <c r="E251" s="5"/>
      <c r="F251" s="6"/>
      <c r="G251" s="52" t="s">
        <v>245</v>
      </c>
      <c r="H251" s="5"/>
      <c r="I251" s="5"/>
      <c r="J251" s="6"/>
      <c r="K251" s="52">
        <v>10.0</v>
      </c>
      <c r="L251" s="5"/>
      <c r="M251" s="5"/>
      <c r="N251" s="6"/>
      <c r="O251" s="52" t="s">
        <v>199</v>
      </c>
      <c r="P251" s="5"/>
      <c r="Q251" s="6"/>
      <c r="R251" s="53"/>
      <c r="S251" s="6"/>
      <c r="T251" s="53"/>
      <c r="U251" s="6"/>
      <c r="V251" s="53"/>
      <c r="W251" s="6"/>
      <c r="X251" s="53"/>
      <c r="Y251" s="6"/>
    </row>
    <row r="252" ht="45.75" customHeight="1"/>
    <row r="253" ht="45.75" customHeight="1"/>
    <row r="254" ht="45.75" customHeight="1"/>
    <row r="255" ht="45.75" customHeight="1"/>
    <row r="256" ht="45.75" customHeight="1"/>
    <row r="257" ht="45.75" customHeight="1">
      <c r="A257" s="63">
        <v>23.0</v>
      </c>
      <c r="B257" s="70" t="s">
        <v>134</v>
      </c>
      <c r="C257" s="71" t="str">
        <f>'Invetario de Tablas'!B26</f>
        <v>tipo_usuario_usuario</v>
      </c>
      <c r="D257" s="32"/>
      <c r="E257" s="32"/>
      <c r="F257" s="33"/>
      <c r="G257" s="70" t="s">
        <v>135</v>
      </c>
      <c r="H257" s="32"/>
      <c r="I257" s="32"/>
      <c r="J257" s="33"/>
      <c r="K257" s="81" t="str">
        <f>'Invetario de Tablas'!C26</f>
        <v>nace de la relacion usuario a un tipo de usuario</v>
      </c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3"/>
      <c r="X257" s="73" t="s">
        <v>186</v>
      </c>
      <c r="Y257" s="74">
        <f>Y3</f>
        <v>46023</v>
      </c>
    </row>
    <row r="258" ht="45.75" customHeight="1">
      <c r="A258" s="75" t="s">
        <v>1</v>
      </c>
      <c r="B258" s="76" t="s">
        <v>187</v>
      </c>
      <c r="C258" s="78" t="s">
        <v>188</v>
      </c>
      <c r="D258" s="5"/>
      <c r="E258" s="5"/>
      <c r="F258" s="6"/>
      <c r="G258" s="78" t="s">
        <v>189</v>
      </c>
      <c r="H258" s="5"/>
      <c r="I258" s="5"/>
      <c r="J258" s="6"/>
      <c r="K258" s="78" t="s">
        <v>190</v>
      </c>
      <c r="L258" s="5"/>
      <c r="M258" s="5"/>
      <c r="N258" s="6"/>
      <c r="O258" s="78" t="s">
        <v>191</v>
      </c>
      <c r="P258" s="5"/>
      <c r="Q258" s="6"/>
      <c r="R258" s="78" t="s">
        <v>192</v>
      </c>
      <c r="S258" s="6"/>
      <c r="T258" s="78" t="s">
        <v>193</v>
      </c>
      <c r="U258" s="6"/>
      <c r="V258" s="78" t="s">
        <v>194</v>
      </c>
      <c r="W258" s="6"/>
      <c r="X258" s="78" t="s">
        <v>195</v>
      </c>
      <c r="Y258" s="40"/>
    </row>
    <row r="259" ht="45.75" customHeight="1">
      <c r="A259" s="79">
        <v>1.0</v>
      </c>
      <c r="B259" s="96" t="s">
        <v>226</v>
      </c>
      <c r="C259" s="51" t="s">
        <v>341</v>
      </c>
      <c r="D259" s="5"/>
      <c r="E259" s="5"/>
      <c r="F259" s="6"/>
      <c r="G259" s="52" t="s">
        <v>198</v>
      </c>
      <c r="H259" s="5"/>
      <c r="I259" s="5"/>
      <c r="J259" s="6"/>
      <c r="K259" s="52">
        <v>5.0</v>
      </c>
      <c r="L259" s="5"/>
      <c r="M259" s="5"/>
      <c r="N259" s="6"/>
      <c r="O259" s="52" t="s">
        <v>199</v>
      </c>
      <c r="P259" s="5"/>
      <c r="Q259" s="6"/>
      <c r="R259" s="53"/>
      <c r="S259" s="6"/>
      <c r="T259" s="54" t="s">
        <v>200</v>
      </c>
      <c r="U259" s="6"/>
      <c r="V259" s="53"/>
      <c r="W259" s="6"/>
      <c r="X259" s="53"/>
      <c r="Y259" s="6"/>
    </row>
    <row r="260" ht="45.75" customHeight="1">
      <c r="A260" s="79">
        <v>2.0</v>
      </c>
      <c r="B260" s="96" t="s">
        <v>196</v>
      </c>
      <c r="C260" s="51" t="s">
        <v>197</v>
      </c>
      <c r="D260" s="5"/>
      <c r="E260" s="5"/>
      <c r="F260" s="6"/>
      <c r="G260" s="52" t="s">
        <v>198</v>
      </c>
      <c r="H260" s="5"/>
      <c r="I260" s="5"/>
      <c r="J260" s="6"/>
      <c r="K260" s="52">
        <v>15.0</v>
      </c>
      <c r="L260" s="5"/>
      <c r="M260" s="5"/>
      <c r="N260" s="6"/>
      <c r="O260" s="52" t="s">
        <v>199</v>
      </c>
      <c r="P260" s="5"/>
      <c r="Q260" s="6"/>
      <c r="R260" s="53"/>
      <c r="S260" s="6"/>
      <c r="T260" s="54" t="s">
        <v>200</v>
      </c>
      <c r="U260" s="6"/>
      <c r="V260" s="53"/>
      <c r="W260" s="6"/>
      <c r="X260" s="53"/>
      <c r="Y260" s="6"/>
    </row>
    <row r="261" ht="45.75" customHeight="1">
      <c r="A261" s="85">
        <v>3.0</v>
      </c>
      <c r="B261" s="97" t="s">
        <v>363</v>
      </c>
      <c r="C261" s="87" t="s">
        <v>364</v>
      </c>
      <c r="D261" s="88"/>
      <c r="E261" s="88"/>
      <c r="F261" s="89"/>
      <c r="G261" s="90" t="s">
        <v>245</v>
      </c>
      <c r="H261" s="88"/>
      <c r="I261" s="88"/>
      <c r="J261" s="89"/>
      <c r="K261" s="90">
        <v>10.0</v>
      </c>
      <c r="L261" s="88"/>
      <c r="M261" s="88"/>
      <c r="N261" s="89"/>
      <c r="O261" s="90" t="s">
        <v>199</v>
      </c>
      <c r="P261" s="88"/>
      <c r="Q261" s="89"/>
      <c r="R261" s="91"/>
      <c r="S261" s="89"/>
      <c r="T261" s="91"/>
      <c r="U261" s="89"/>
      <c r="V261" s="91"/>
      <c r="W261" s="89"/>
      <c r="X261" s="91"/>
      <c r="Y261" s="89"/>
    </row>
    <row r="262" ht="45.75" customHeight="1">
      <c r="A262" s="98"/>
      <c r="B262" s="99"/>
      <c r="C262" s="99"/>
      <c r="D262" s="88"/>
      <c r="E262" s="88"/>
      <c r="F262" s="88"/>
      <c r="G262" s="99"/>
      <c r="H262" s="88"/>
      <c r="I262" s="88"/>
      <c r="J262" s="88"/>
      <c r="K262" s="99"/>
      <c r="L262" s="88"/>
      <c r="M262" s="88"/>
      <c r="N262" s="88"/>
      <c r="O262" s="99"/>
      <c r="P262" s="88"/>
      <c r="Q262" s="88"/>
      <c r="R262" s="99"/>
      <c r="S262" s="88"/>
      <c r="T262" s="99"/>
      <c r="U262" s="88"/>
      <c r="V262" s="99"/>
      <c r="W262" s="88"/>
      <c r="X262" s="99"/>
      <c r="Y262" s="88"/>
    </row>
    <row r="263" ht="45.75" customHeight="1">
      <c r="A263" s="83"/>
      <c r="B263" s="84"/>
      <c r="C263" s="84"/>
      <c r="G263" s="84"/>
      <c r="K263" s="84"/>
      <c r="O263" s="84"/>
      <c r="R263" s="84"/>
      <c r="T263" s="84"/>
      <c r="V263" s="84"/>
      <c r="X263" s="84"/>
    </row>
    <row r="264" ht="45.75" customHeight="1"/>
    <row r="265" ht="45.75" customHeight="1"/>
    <row r="266" ht="45.75" customHeight="1"/>
    <row r="267" ht="45.75" customHeight="1"/>
    <row r="268" ht="45.75" customHeight="1"/>
    <row r="269" ht="45.75" customHeight="1">
      <c r="A269" s="63">
        <v>24.0</v>
      </c>
      <c r="B269" s="70" t="s">
        <v>134</v>
      </c>
      <c r="C269" s="71" t="str">
        <f>'Invetario de Tablas'!B27</f>
        <v>publicidad_reaccion</v>
      </c>
      <c r="D269" s="32"/>
      <c r="E269" s="32"/>
      <c r="F269" s="33"/>
      <c r="G269" s="70" t="s">
        <v>135</v>
      </c>
      <c r="H269" s="32"/>
      <c r="I269" s="32"/>
      <c r="J269" s="33"/>
      <c r="K269" s="81" t="str">
        <f>'Invetario de Tablas'!C27</f>
        <v>nace de la relacion publicidad y reaccion</v>
      </c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3"/>
      <c r="X269" s="73" t="s">
        <v>186</v>
      </c>
      <c r="Y269" s="74">
        <f>Y3</f>
        <v>46023</v>
      </c>
    </row>
    <row r="270" ht="45.75" customHeight="1">
      <c r="A270" s="75" t="s">
        <v>1</v>
      </c>
      <c r="B270" s="76" t="s">
        <v>187</v>
      </c>
      <c r="C270" s="78" t="s">
        <v>188</v>
      </c>
      <c r="D270" s="5"/>
      <c r="E270" s="5"/>
      <c r="F270" s="6"/>
      <c r="G270" s="78" t="s">
        <v>189</v>
      </c>
      <c r="H270" s="5"/>
      <c r="I270" s="5"/>
      <c r="J270" s="6"/>
      <c r="K270" s="78" t="s">
        <v>190</v>
      </c>
      <c r="L270" s="5"/>
      <c r="M270" s="5"/>
      <c r="N270" s="6"/>
      <c r="O270" s="78" t="s">
        <v>191</v>
      </c>
      <c r="P270" s="5"/>
      <c r="Q270" s="6"/>
      <c r="R270" s="78" t="s">
        <v>192</v>
      </c>
      <c r="S270" s="6"/>
      <c r="T270" s="78" t="s">
        <v>193</v>
      </c>
      <c r="U270" s="6"/>
      <c r="V270" s="78" t="s">
        <v>194</v>
      </c>
      <c r="W270" s="6"/>
      <c r="X270" s="78" t="s">
        <v>195</v>
      </c>
      <c r="Y270" s="40"/>
    </row>
    <row r="271" ht="45.75" customHeight="1">
      <c r="A271" s="79">
        <v>1.0</v>
      </c>
      <c r="B271" s="96" t="s">
        <v>196</v>
      </c>
      <c r="C271" s="51" t="s">
        <v>197</v>
      </c>
      <c r="D271" s="5"/>
      <c r="E271" s="5"/>
      <c r="F271" s="6"/>
      <c r="G271" s="52" t="s">
        <v>198</v>
      </c>
      <c r="H271" s="5"/>
      <c r="I271" s="5"/>
      <c r="J271" s="6"/>
      <c r="K271" s="52">
        <v>15.0</v>
      </c>
      <c r="L271" s="5"/>
      <c r="M271" s="5"/>
      <c r="N271" s="6"/>
      <c r="O271" s="52" t="s">
        <v>199</v>
      </c>
      <c r="P271" s="5"/>
      <c r="Q271" s="6"/>
      <c r="R271" s="53"/>
      <c r="S271" s="6"/>
      <c r="T271" s="54" t="s">
        <v>200</v>
      </c>
      <c r="U271" s="6"/>
      <c r="V271" s="53"/>
      <c r="W271" s="6"/>
      <c r="X271" s="53"/>
      <c r="Y271" s="6"/>
    </row>
    <row r="272" ht="45.75" customHeight="1">
      <c r="A272" s="79">
        <v>2.0</v>
      </c>
      <c r="B272" s="96" t="s">
        <v>365</v>
      </c>
      <c r="C272" s="51" t="s">
        <v>366</v>
      </c>
      <c r="D272" s="5"/>
      <c r="E272" s="5"/>
      <c r="F272" s="6"/>
      <c r="G272" s="52" t="s">
        <v>223</v>
      </c>
      <c r="H272" s="5"/>
      <c r="I272" s="5"/>
      <c r="J272" s="6"/>
      <c r="K272" s="52">
        <v>10.0</v>
      </c>
      <c r="L272" s="5"/>
      <c r="M272" s="5"/>
      <c r="N272" s="6"/>
      <c r="O272" s="52" t="s">
        <v>199</v>
      </c>
      <c r="P272" s="5"/>
      <c r="Q272" s="6"/>
      <c r="R272" s="54" t="s">
        <v>200</v>
      </c>
      <c r="S272" s="6"/>
      <c r="T272" s="53"/>
      <c r="U272" s="6"/>
      <c r="V272" s="53"/>
      <c r="W272" s="6"/>
      <c r="X272" s="53"/>
      <c r="Y272" s="6"/>
    </row>
    <row r="273" ht="45.75" customHeight="1">
      <c r="A273" s="79">
        <v>3.0</v>
      </c>
      <c r="B273" s="96" t="s">
        <v>255</v>
      </c>
      <c r="C273" s="51" t="s">
        <v>256</v>
      </c>
      <c r="D273" s="5"/>
      <c r="E273" s="5"/>
      <c r="F273" s="6"/>
      <c r="G273" s="52" t="s">
        <v>198</v>
      </c>
      <c r="H273" s="5"/>
      <c r="I273" s="5"/>
      <c r="J273" s="6"/>
      <c r="K273" s="52">
        <v>5.0</v>
      </c>
      <c r="L273" s="5"/>
      <c r="M273" s="5"/>
      <c r="N273" s="6"/>
      <c r="O273" s="52" t="s">
        <v>199</v>
      </c>
      <c r="P273" s="5"/>
      <c r="Q273" s="6"/>
      <c r="R273" s="53"/>
      <c r="S273" s="6"/>
      <c r="T273" s="54" t="s">
        <v>200</v>
      </c>
      <c r="U273" s="6"/>
      <c r="V273" s="53"/>
      <c r="W273" s="6"/>
      <c r="X273" s="53"/>
      <c r="Y273" s="6"/>
    </row>
    <row r="274" ht="38.25" customHeight="1"/>
    <row r="275" ht="38.25" customHeight="1"/>
    <row r="276" ht="38.25" customHeight="1"/>
    <row r="277" ht="55.5" customHeight="1">
      <c r="A277" s="100" t="s">
        <v>367</v>
      </c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6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</sheetData>
  <mergeCells count="1282">
    <mergeCell ref="O174:Q174"/>
    <mergeCell ref="R174:S174"/>
    <mergeCell ref="T174:U174"/>
    <mergeCell ref="V174:W174"/>
    <mergeCell ref="X174:Y174"/>
    <mergeCell ref="C168:F168"/>
    <mergeCell ref="C173:F173"/>
    <mergeCell ref="G173:J173"/>
    <mergeCell ref="K173:W173"/>
    <mergeCell ref="C174:F174"/>
    <mergeCell ref="G174:J174"/>
    <mergeCell ref="K174:N174"/>
    <mergeCell ref="G175:J175"/>
    <mergeCell ref="K175:N175"/>
    <mergeCell ref="O175:Q175"/>
    <mergeCell ref="R175:S175"/>
    <mergeCell ref="T175:U175"/>
    <mergeCell ref="V175:W175"/>
    <mergeCell ref="X175:Y175"/>
    <mergeCell ref="V176:W176"/>
    <mergeCell ref="X176:Y176"/>
    <mergeCell ref="C175:F175"/>
    <mergeCell ref="C176:F176"/>
    <mergeCell ref="G176:J176"/>
    <mergeCell ref="K176:N176"/>
    <mergeCell ref="O176:Q176"/>
    <mergeCell ref="R176:S176"/>
    <mergeCell ref="T176:U176"/>
    <mergeCell ref="T186:U186"/>
    <mergeCell ref="V186:W186"/>
    <mergeCell ref="X186:Y186"/>
    <mergeCell ref="O186:Q186"/>
    <mergeCell ref="R186:S186"/>
    <mergeCell ref="C179:F179"/>
    <mergeCell ref="C185:F185"/>
    <mergeCell ref="G185:J185"/>
    <mergeCell ref="K185:W185"/>
    <mergeCell ref="C186:F186"/>
    <mergeCell ref="G186:J186"/>
    <mergeCell ref="K186:N186"/>
    <mergeCell ref="G187:J187"/>
    <mergeCell ref="K187:N187"/>
    <mergeCell ref="O187:Q187"/>
    <mergeCell ref="R187:S187"/>
    <mergeCell ref="T187:U187"/>
    <mergeCell ref="V187:W187"/>
    <mergeCell ref="X187:Y187"/>
    <mergeCell ref="V188:W188"/>
    <mergeCell ref="X188:Y188"/>
    <mergeCell ref="C187:F187"/>
    <mergeCell ref="C188:F188"/>
    <mergeCell ref="G188:J188"/>
    <mergeCell ref="K188:N188"/>
    <mergeCell ref="O188:Q188"/>
    <mergeCell ref="R188:S188"/>
    <mergeCell ref="T188:U188"/>
    <mergeCell ref="V190:W190"/>
    <mergeCell ref="X190:Y190"/>
    <mergeCell ref="G191:J191"/>
    <mergeCell ref="K191:N191"/>
    <mergeCell ref="O191:Q191"/>
    <mergeCell ref="R191:S191"/>
    <mergeCell ref="T191:U191"/>
    <mergeCell ref="V191:W191"/>
    <mergeCell ref="X191:Y191"/>
    <mergeCell ref="K162:N162"/>
    <mergeCell ref="O162:Q162"/>
    <mergeCell ref="V162:W162"/>
    <mergeCell ref="X162:Y162"/>
    <mergeCell ref="V156:W156"/>
    <mergeCell ref="X156:Y156"/>
    <mergeCell ref="C161:F161"/>
    <mergeCell ref="G161:J161"/>
    <mergeCell ref="K161:W161"/>
    <mergeCell ref="C162:F162"/>
    <mergeCell ref="G162:J162"/>
    <mergeCell ref="V167:W167"/>
    <mergeCell ref="X167:Y167"/>
    <mergeCell ref="C166:F166"/>
    <mergeCell ref="C167:F167"/>
    <mergeCell ref="G167:J167"/>
    <mergeCell ref="K167:N167"/>
    <mergeCell ref="O167:Q167"/>
    <mergeCell ref="R167:S167"/>
    <mergeCell ref="T167:U167"/>
    <mergeCell ref="O150:Q150"/>
    <mergeCell ref="R150:S150"/>
    <mergeCell ref="C145:F145"/>
    <mergeCell ref="C149:F149"/>
    <mergeCell ref="G149:J149"/>
    <mergeCell ref="K149:W149"/>
    <mergeCell ref="C150:F150"/>
    <mergeCell ref="G150:J150"/>
    <mergeCell ref="K150:N150"/>
    <mergeCell ref="G151:J151"/>
    <mergeCell ref="K151:N151"/>
    <mergeCell ref="O151:Q151"/>
    <mergeCell ref="R151:S151"/>
    <mergeCell ref="T151:U151"/>
    <mergeCell ref="V151:W151"/>
    <mergeCell ref="X151:Y151"/>
    <mergeCell ref="V152:W152"/>
    <mergeCell ref="X152:Y152"/>
    <mergeCell ref="C151:F151"/>
    <mergeCell ref="C152:F152"/>
    <mergeCell ref="G152:J152"/>
    <mergeCell ref="K152:N152"/>
    <mergeCell ref="O152:Q152"/>
    <mergeCell ref="R152:S152"/>
    <mergeCell ref="T152:U152"/>
    <mergeCell ref="V154:W154"/>
    <mergeCell ref="X154:Y154"/>
    <mergeCell ref="G168:J168"/>
    <mergeCell ref="K168:N168"/>
    <mergeCell ref="O168:Q168"/>
    <mergeCell ref="R168:S168"/>
    <mergeCell ref="T168:U168"/>
    <mergeCell ref="V168:W168"/>
    <mergeCell ref="X168:Y168"/>
    <mergeCell ref="G177:J177"/>
    <mergeCell ref="K177:N177"/>
    <mergeCell ref="O177:Q177"/>
    <mergeCell ref="R177:S177"/>
    <mergeCell ref="T177:U177"/>
    <mergeCell ref="V177:W177"/>
    <mergeCell ref="X177:Y177"/>
    <mergeCell ref="C177:F177"/>
    <mergeCell ref="C178:F178"/>
    <mergeCell ref="G178:J178"/>
    <mergeCell ref="K178:N178"/>
    <mergeCell ref="O178:Q178"/>
    <mergeCell ref="R178:S178"/>
    <mergeCell ref="T178:U178"/>
    <mergeCell ref="T179:U179"/>
    <mergeCell ref="V179:W179"/>
    <mergeCell ref="V178:W178"/>
    <mergeCell ref="X178:Y178"/>
    <mergeCell ref="G179:J179"/>
    <mergeCell ref="K179:N179"/>
    <mergeCell ref="O179:Q179"/>
    <mergeCell ref="R179:S179"/>
    <mergeCell ref="X179:Y179"/>
    <mergeCell ref="G189:J189"/>
    <mergeCell ref="K189:N189"/>
    <mergeCell ref="O189:Q189"/>
    <mergeCell ref="R189:S189"/>
    <mergeCell ref="T189:U189"/>
    <mergeCell ref="V189:W189"/>
    <mergeCell ref="X189:Y189"/>
    <mergeCell ref="C189:F189"/>
    <mergeCell ref="C190:F190"/>
    <mergeCell ref="G190:J190"/>
    <mergeCell ref="K190:N190"/>
    <mergeCell ref="O190:Q190"/>
    <mergeCell ref="R190:S190"/>
    <mergeCell ref="T190:U190"/>
    <mergeCell ref="T203:U203"/>
    <mergeCell ref="V203:W203"/>
    <mergeCell ref="V202:W202"/>
    <mergeCell ref="X202:Y202"/>
    <mergeCell ref="G203:J203"/>
    <mergeCell ref="K203:N203"/>
    <mergeCell ref="O203:Q203"/>
    <mergeCell ref="R203:S203"/>
    <mergeCell ref="X203:Y203"/>
    <mergeCell ref="O222:Q222"/>
    <mergeCell ref="R222:S222"/>
    <mergeCell ref="T222:U222"/>
    <mergeCell ref="V222:W222"/>
    <mergeCell ref="X222:Y222"/>
    <mergeCell ref="C215:F215"/>
    <mergeCell ref="C221:F221"/>
    <mergeCell ref="G221:J221"/>
    <mergeCell ref="K221:W221"/>
    <mergeCell ref="C222:F222"/>
    <mergeCell ref="G222:J222"/>
    <mergeCell ref="K222:N222"/>
    <mergeCell ref="G223:J223"/>
    <mergeCell ref="K223:N223"/>
    <mergeCell ref="O223:Q223"/>
    <mergeCell ref="R223:S223"/>
    <mergeCell ref="T223:U223"/>
    <mergeCell ref="V223:W223"/>
    <mergeCell ref="X223:Y223"/>
    <mergeCell ref="V224:W224"/>
    <mergeCell ref="X224:Y224"/>
    <mergeCell ref="C223:F223"/>
    <mergeCell ref="C224:F224"/>
    <mergeCell ref="G224:J224"/>
    <mergeCell ref="K224:N224"/>
    <mergeCell ref="O224:Q224"/>
    <mergeCell ref="R224:S224"/>
    <mergeCell ref="T224:U224"/>
    <mergeCell ref="T234:U234"/>
    <mergeCell ref="V234:W234"/>
    <mergeCell ref="X234:Y234"/>
    <mergeCell ref="O234:Q234"/>
    <mergeCell ref="R234:S234"/>
    <mergeCell ref="C227:F227"/>
    <mergeCell ref="C233:F233"/>
    <mergeCell ref="G233:J233"/>
    <mergeCell ref="K233:W233"/>
    <mergeCell ref="C234:F234"/>
    <mergeCell ref="G234:J234"/>
    <mergeCell ref="K234:N234"/>
    <mergeCell ref="G235:J235"/>
    <mergeCell ref="K235:N235"/>
    <mergeCell ref="O235:Q235"/>
    <mergeCell ref="R235:S235"/>
    <mergeCell ref="T235:U235"/>
    <mergeCell ref="V235:W235"/>
    <mergeCell ref="X235:Y235"/>
    <mergeCell ref="V236:W236"/>
    <mergeCell ref="X236:Y236"/>
    <mergeCell ref="C235:F235"/>
    <mergeCell ref="C236:F236"/>
    <mergeCell ref="G236:J236"/>
    <mergeCell ref="K236:N236"/>
    <mergeCell ref="O236:Q236"/>
    <mergeCell ref="R236:S236"/>
    <mergeCell ref="T236:U236"/>
    <mergeCell ref="V238:W238"/>
    <mergeCell ref="X238:Y238"/>
    <mergeCell ref="G239:J239"/>
    <mergeCell ref="K239:N239"/>
    <mergeCell ref="O239:Q239"/>
    <mergeCell ref="R239:S239"/>
    <mergeCell ref="T239:U239"/>
    <mergeCell ref="V239:W239"/>
    <mergeCell ref="X239:Y239"/>
    <mergeCell ref="G249:J249"/>
    <mergeCell ref="K249:N249"/>
    <mergeCell ref="O249:Q249"/>
    <mergeCell ref="R249:S249"/>
    <mergeCell ref="T249:U249"/>
    <mergeCell ref="V249:W249"/>
    <mergeCell ref="X249:Y249"/>
    <mergeCell ref="C249:F249"/>
    <mergeCell ref="C250:F250"/>
    <mergeCell ref="G250:J250"/>
    <mergeCell ref="K250:N250"/>
    <mergeCell ref="O250:Q250"/>
    <mergeCell ref="R250:S250"/>
    <mergeCell ref="T250:U250"/>
    <mergeCell ref="T251:U251"/>
    <mergeCell ref="V251:W251"/>
    <mergeCell ref="V250:W250"/>
    <mergeCell ref="X250:Y250"/>
    <mergeCell ref="G251:J251"/>
    <mergeCell ref="K251:N251"/>
    <mergeCell ref="O251:Q251"/>
    <mergeCell ref="R251:S251"/>
    <mergeCell ref="X251:Y251"/>
    <mergeCell ref="O246:Q246"/>
    <mergeCell ref="R246:S246"/>
    <mergeCell ref="T246:U246"/>
    <mergeCell ref="V246:W246"/>
    <mergeCell ref="X246:Y246"/>
    <mergeCell ref="C239:F239"/>
    <mergeCell ref="C245:F245"/>
    <mergeCell ref="G245:J245"/>
    <mergeCell ref="K245:W245"/>
    <mergeCell ref="C246:F246"/>
    <mergeCell ref="G246:J246"/>
    <mergeCell ref="K246:N246"/>
    <mergeCell ref="G247:J247"/>
    <mergeCell ref="K247:N247"/>
    <mergeCell ref="O247:Q247"/>
    <mergeCell ref="R247:S247"/>
    <mergeCell ref="T247:U247"/>
    <mergeCell ref="V247:W247"/>
    <mergeCell ref="X247:Y247"/>
    <mergeCell ref="V248:W248"/>
    <mergeCell ref="X248:Y248"/>
    <mergeCell ref="C247:F247"/>
    <mergeCell ref="C248:F248"/>
    <mergeCell ref="G248:J248"/>
    <mergeCell ref="K248:N248"/>
    <mergeCell ref="O248:Q248"/>
    <mergeCell ref="R248:S248"/>
    <mergeCell ref="T248:U248"/>
    <mergeCell ref="T258:U258"/>
    <mergeCell ref="V258:W258"/>
    <mergeCell ref="X258:Y258"/>
    <mergeCell ref="G261:J261"/>
    <mergeCell ref="K261:N261"/>
    <mergeCell ref="O261:Q261"/>
    <mergeCell ref="R261:S261"/>
    <mergeCell ref="T261:U261"/>
    <mergeCell ref="V261:W261"/>
    <mergeCell ref="X261:Y261"/>
    <mergeCell ref="C261:F261"/>
    <mergeCell ref="C262:F262"/>
    <mergeCell ref="G262:J262"/>
    <mergeCell ref="K262:N262"/>
    <mergeCell ref="O262:Q262"/>
    <mergeCell ref="R262:S262"/>
    <mergeCell ref="T262:U262"/>
    <mergeCell ref="O270:Q270"/>
    <mergeCell ref="R270:S270"/>
    <mergeCell ref="T270:U270"/>
    <mergeCell ref="V270:W270"/>
    <mergeCell ref="X270:Y270"/>
    <mergeCell ref="C263:F263"/>
    <mergeCell ref="C269:F269"/>
    <mergeCell ref="G269:J269"/>
    <mergeCell ref="K269:W269"/>
    <mergeCell ref="C270:F270"/>
    <mergeCell ref="G270:J270"/>
    <mergeCell ref="K270:N270"/>
    <mergeCell ref="G271:J271"/>
    <mergeCell ref="K271:N271"/>
    <mergeCell ref="O271:Q271"/>
    <mergeCell ref="R271:S271"/>
    <mergeCell ref="T271:U271"/>
    <mergeCell ref="V271:W271"/>
    <mergeCell ref="X271:Y271"/>
    <mergeCell ref="V272:W272"/>
    <mergeCell ref="X272:Y272"/>
    <mergeCell ref="C271:F271"/>
    <mergeCell ref="C272:F272"/>
    <mergeCell ref="G272:J272"/>
    <mergeCell ref="K272:N272"/>
    <mergeCell ref="O272:Q272"/>
    <mergeCell ref="R272:S272"/>
    <mergeCell ref="T272:U272"/>
    <mergeCell ref="K273:N273"/>
    <mergeCell ref="A277:Y277"/>
    <mergeCell ref="C273:F273"/>
    <mergeCell ref="G273:J273"/>
    <mergeCell ref="O273:Q273"/>
    <mergeCell ref="R273:S273"/>
    <mergeCell ref="T273:U273"/>
    <mergeCell ref="V273:W273"/>
    <mergeCell ref="X273:Y273"/>
    <mergeCell ref="O258:Q258"/>
    <mergeCell ref="R258:S258"/>
    <mergeCell ref="C251:F251"/>
    <mergeCell ref="C257:F257"/>
    <mergeCell ref="G257:J257"/>
    <mergeCell ref="K257:W257"/>
    <mergeCell ref="C258:F258"/>
    <mergeCell ref="G258:J258"/>
    <mergeCell ref="K258:N258"/>
    <mergeCell ref="G259:J259"/>
    <mergeCell ref="K259:N259"/>
    <mergeCell ref="O259:Q259"/>
    <mergeCell ref="R259:S259"/>
    <mergeCell ref="T259:U259"/>
    <mergeCell ref="V259:W259"/>
    <mergeCell ref="X259:Y259"/>
    <mergeCell ref="V260:W260"/>
    <mergeCell ref="X260:Y260"/>
    <mergeCell ref="C259:F259"/>
    <mergeCell ref="C260:F260"/>
    <mergeCell ref="G260:J260"/>
    <mergeCell ref="K260:N260"/>
    <mergeCell ref="O260:Q260"/>
    <mergeCell ref="R260:S260"/>
    <mergeCell ref="T260:U260"/>
    <mergeCell ref="V262:W262"/>
    <mergeCell ref="X262:Y262"/>
    <mergeCell ref="G263:J263"/>
    <mergeCell ref="K263:N263"/>
    <mergeCell ref="O263:Q263"/>
    <mergeCell ref="R263:S263"/>
    <mergeCell ref="T263:U263"/>
    <mergeCell ref="V263:W263"/>
    <mergeCell ref="X263:Y263"/>
    <mergeCell ref="G201:J201"/>
    <mergeCell ref="K201:N201"/>
    <mergeCell ref="O201:Q201"/>
    <mergeCell ref="R201:S201"/>
    <mergeCell ref="T201:U201"/>
    <mergeCell ref="V201:W201"/>
    <mergeCell ref="X201:Y201"/>
    <mergeCell ref="C201:F201"/>
    <mergeCell ref="C202:F202"/>
    <mergeCell ref="G202:J202"/>
    <mergeCell ref="K202:N202"/>
    <mergeCell ref="O202:Q202"/>
    <mergeCell ref="R202:S202"/>
    <mergeCell ref="T202:U202"/>
    <mergeCell ref="O198:Q198"/>
    <mergeCell ref="R198:S198"/>
    <mergeCell ref="T198:U198"/>
    <mergeCell ref="V198:W198"/>
    <mergeCell ref="X198:Y198"/>
    <mergeCell ref="C191:F191"/>
    <mergeCell ref="C197:F197"/>
    <mergeCell ref="G197:J197"/>
    <mergeCell ref="K197:W197"/>
    <mergeCell ref="C198:F198"/>
    <mergeCell ref="G198:J198"/>
    <mergeCell ref="K198:N198"/>
    <mergeCell ref="G199:J199"/>
    <mergeCell ref="K199:N199"/>
    <mergeCell ref="O199:Q199"/>
    <mergeCell ref="R199:S199"/>
    <mergeCell ref="T199:U199"/>
    <mergeCell ref="V199:W199"/>
    <mergeCell ref="X199:Y199"/>
    <mergeCell ref="V200:W200"/>
    <mergeCell ref="X200:Y200"/>
    <mergeCell ref="C199:F199"/>
    <mergeCell ref="C200:F200"/>
    <mergeCell ref="G200:J200"/>
    <mergeCell ref="K200:N200"/>
    <mergeCell ref="O200:Q200"/>
    <mergeCell ref="R200:S200"/>
    <mergeCell ref="T200:U200"/>
    <mergeCell ref="T210:U210"/>
    <mergeCell ref="V210:W210"/>
    <mergeCell ref="X210:Y210"/>
    <mergeCell ref="G213:J213"/>
    <mergeCell ref="K213:N213"/>
    <mergeCell ref="O213:Q213"/>
    <mergeCell ref="R213:S213"/>
    <mergeCell ref="T213:U213"/>
    <mergeCell ref="V213:W213"/>
    <mergeCell ref="X213:Y213"/>
    <mergeCell ref="C213:F213"/>
    <mergeCell ref="C214:F214"/>
    <mergeCell ref="G214:J214"/>
    <mergeCell ref="K214:N214"/>
    <mergeCell ref="O214:Q214"/>
    <mergeCell ref="R214:S214"/>
    <mergeCell ref="T214:U214"/>
    <mergeCell ref="O210:Q210"/>
    <mergeCell ref="R210:S210"/>
    <mergeCell ref="C203:F203"/>
    <mergeCell ref="C209:F209"/>
    <mergeCell ref="G209:J209"/>
    <mergeCell ref="K209:W209"/>
    <mergeCell ref="C210:F210"/>
    <mergeCell ref="G210:J210"/>
    <mergeCell ref="K210:N210"/>
    <mergeCell ref="G211:J211"/>
    <mergeCell ref="K211:N211"/>
    <mergeCell ref="O211:Q211"/>
    <mergeCell ref="R211:S211"/>
    <mergeCell ref="T211:U211"/>
    <mergeCell ref="V211:W211"/>
    <mergeCell ref="X211:Y211"/>
    <mergeCell ref="V212:W212"/>
    <mergeCell ref="X212:Y212"/>
    <mergeCell ref="C211:F211"/>
    <mergeCell ref="C212:F212"/>
    <mergeCell ref="G212:J212"/>
    <mergeCell ref="K212:N212"/>
    <mergeCell ref="O212:Q212"/>
    <mergeCell ref="R212:S212"/>
    <mergeCell ref="T212:U212"/>
    <mergeCell ref="V214:W214"/>
    <mergeCell ref="X214:Y214"/>
    <mergeCell ref="G215:J215"/>
    <mergeCell ref="K215:N215"/>
    <mergeCell ref="O215:Q215"/>
    <mergeCell ref="R215:S215"/>
    <mergeCell ref="T215:U215"/>
    <mergeCell ref="V215:W215"/>
    <mergeCell ref="X215:Y215"/>
    <mergeCell ref="G225:J225"/>
    <mergeCell ref="K225:N225"/>
    <mergeCell ref="O225:Q225"/>
    <mergeCell ref="R225:S225"/>
    <mergeCell ref="T225:U225"/>
    <mergeCell ref="V225:W225"/>
    <mergeCell ref="X225:Y225"/>
    <mergeCell ref="C225:F225"/>
    <mergeCell ref="C226:F226"/>
    <mergeCell ref="G226:J226"/>
    <mergeCell ref="K226:N226"/>
    <mergeCell ref="O226:Q226"/>
    <mergeCell ref="R226:S226"/>
    <mergeCell ref="T226:U226"/>
    <mergeCell ref="T227:U227"/>
    <mergeCell ref="V227:W227"/>
    <mergeCell ref="V226:W226"/>
    <mergeCell ref="X226:Y226"/>
    <mergeCell ref="G227:J227"/>
    <mergeCell ref="K227:N227"/>
    <mergeCell ref="O227:Q227"/>
    <mergeCell ref="R227:S227"/>
    <mergeCell ref="X227:Y227"/>
    <mergeCell ref="G237:J237"/>
    <mergeCell ref="K237:N237"/>
    <mergeCell ref="O237:Q237"/>
    <mergeCell ref="R237:S237"/>
    <mergeCell ref="T237:U237"/>
    <mergeCell ref="V237:W237"/>
    <mergeCell ref="X237:Y237"/>
    <mergeCell ref="C237:F237"/>
    <mergeCell ref="C238:F238"/>
    <mergeCell ref="G238:J238"/>
    <mergeCell ref="K238:N238"/>
    <mergeCell ref="O238:Q238"/>
    <mergeCell ref="R238:S238"/>
    <mergeCell ref="T238:U238"/>
    <mergeCell ref="C7:F7"/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O4:Q4"/>
    <mergeCell ref="R4:S4"/>
    <mergeCell ref="O5:Q5"/>
    <mergeCell ref="R5:S5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C6:F6"/>
    <mergeCell ref="G6:J6"/>
    <mergeCell ref="K6:N6"/>
    <mergeCell ref="G7:J7"/>
    <mergeCell ref="K7:N7"/>
    <mergeCell ref="O7:Q7"/>
    <mergeCell ref="R7:S7"/>
    <mergeCell ref="T7:U7"/>
    <mergeCell ref="V7:W7"/>
    <mergeCell ref="X7:Y7"/>
    <mergeCell ref="V8:W8"/>
    <mergeCell ref="X8:Y8"/>
    <mergeCell ref="V12:W12"/>
    <mergeCell ref="X12:Y12"/>
    <mergeCell ref="G15:J15"/>
    <mergeCell ref="K15:N15"/>
    <mergeCell ref="O15:Q15"/>
    <mergeCell ref="R15:S15"/>
    <mergeCell ref="T15:U15"/>
    <mergeCell ref="V15:W15"/>
    <mergeCell ref="X15:Y15"/>
    <mergeCell ref="K17:W17"/>
    <mergeCell ref="C15:F15"/>
    <mergeCell ref="C17:F17"/>
    <mergeCell ref="G17:J17"/>
    <mergeCell ref="C18:F18"/>
    <mergeCell ref="G18:J18"/>
    <mergeCell ref="K18:N18"/>
    <mergeCell ref="O18:Q18"/>
    <mergeCell ref="G19:J19"/>
    <mergeCell ref="K19:N19"/>
    <mergeCell ref="O19:Q19"/>
    <mergeCell ref="R19:S19"/>
    <mergeCell ref="T19:U19"/>
    <mergeCell ref="V19:W19"/>
    <mergeCell ref="X19:Y19"/>
    <mergeCell ref="C19:F19"/>
    <mergeCell ref="C20:F20"/>
    <mergeCell ref="G20:J20"/>
    <mergeCell ref="K20:N20"/>
    <mergeCell ref="O20:Q20"/>
    <mergeCell ref="R20:S20"/>
    <mergeCell ref="T20:U20"/>
    <mergeCell ref="T21:U21"/>
    <mergeCell ref="V21:W21"/>
    <mergeCell ref="V20:W20"/>
    <mergeCell ref="X20:Y20"/>
    <mergeCell ref="G21:J21"/>
    <mergeCell ref="K21:N21"/>
    <mergeCell ref="O21:Q21"/>
    <mergeCell ref="R21:S21"/>
    <mergeCell ref="X21:Y21"/>
    <mergeCell ref="G11:J11"/>
    <mergeCell ref="K11:N11"/>
    <mergeCell ref="O11:Q11"/>
    <mergeCell ref="R11:S11"/>
    <mergeCell ref="T11:U11"/>
    <mergeCell ref="V11:W11"/>
    <mergeCell ref="X11:Y11"/>
    <mergeCell ref="C11:F11"/>
    <mergeCell ref="C12:F12"/>
    <mergeCell ref="G12:J12"/>
    <mergeCell ref="K12:N12"/>
    <mergeCell ref="O12:Q12"/>
    <mergeCell ref="R12:S12"/>
    <mergeCell ref="T12:U12"/>
    <mergeCell ref="G13:J13"/>
    <mergeCell ref="K13:N13"/>
    <mergeCell ref="O13:Q13"/>
    <mergeCell ref="R13:S13"/>
    <mergeCell ref="T13:U13"/>
    <mergeCell ref="V13:W13"/>
    <mergeCell ref="X13:Y13"/>
    <mergeCell ref="V14:W14"/>
    <mergeCell ref="X14:Y14"/>
    <mergeCell ref="C13:F13"/>
    <mergeCell ref="C14:F14"/>
    <mergeCell ref="G14:J14"/>
    <mergeCell ref="K14:N14"/>
    <mergeCell ref="O14:Q14"/>
    <mergeCell ref="R14:S14"/>
    <mergeCell ref="T14:U14"/>
    <mergeCell ref="R18:S18"/>
    <mergeCell ref="T18:U18"/>
    <mergeCell ref="V18:W18"/>
    <mergeCell ref="X18:Y18"/>
    <mergeCell ref="T24:U24"/>
    <mergeCell ref="V24:W24"/>
    <mergeCell ref="X24:Y24"/>
    <mergeCell ref="G27:J27"/>
    <mergeCell ref="K27:N27"/>
    <mergeCell ref="O27:Q27"/>
    <mergeCell ref="R27:S27"/>
    <mergeCell ref="T27:U27"/>
    <mergeCell ref="V27:W27"/>
    <mergeCell ref="X27:Y27"/>
    <mergeCell ref="K29:W29"/>
    <mergeCell ref="C27:F27"/>
    <mergeCell ref="C29:F29"/>
    <mergeCell ref="G29:J29"/>
    <mergeCell ref="C30:F30"/>
    <mergeCell ref="G30:J30"/>
    <mergeCell ref="K30:N30"/>
    <mergeCell ref="O30:Q30"/>
    <mergeCell ref="G31:J31"/>
    <mergeCell ref="K31:N31"/>
    <mergeCell ref="O31:Q31"/>
    <mergeCell ref="R31:S31"/>
    <mergeCell ref="T31:U31"/>
    <mergeCell ref="V31:W31"/>
    <mergeCell ref="X31:Y31"/>
    <mergeCell ref="C31:F31"/>
    <mergeCell ref="C32:F32"/>
    <mergeCell ref="G32:J32"/>
    <mergeCell ref="K32:N32"/>
    <mergeCell ref="O32:Q32"/>
    <mergeCell ref="R32:S32"/>
    <mergeCell ref="T32:U32"/>
    <mergeCell ref="T33:U33"/>
    <mergeCell ref="V33:W33"/>
    <mergeCell ref="V32:W32"/>
    <mergeCell ref="X32:Y32"/>
    <mergeCell ref="G33:J33"/>
    <mergeCell ref="K33:N33"/>
    <mergeCell ref="O33:Q33"/>
    <mergeCell ref="R33:S33"/>
    <mergeCell ref="X33:Y33"/>
    <mergeCell ref="V34:W34"/>
    <mergeCell ref="X34:Y34"/>
    <mergeCell ref="C33:F33"/>
    <mergeCell ref="C34:F34"/>
    <mergeCell ref="G34:J34"/>
    <mergeCell ref="K34:N34"/>
    <mergeCell ref="O34:Q34"/>
    <mergeCell ref="R34:S34"/>
    <mergeCell ref="T34:U34"/>
    <mergeCell ref="O24:Q24"/>
    <mergeCell ref="R24:S24"/>
    <mergeCell ref="C21:F21"/>
    <mergeCell ref="C23:F23"/>
    <mergeCell ref="G23:J23"/>
    <mergeCell ref="K23:W23"/>
    <mergeCell ref="C24:F24"/>
    <mergeCell ref="G24:J24"/>
    <mergeCell ref="K24:N24"/>
    <mergeCell ref="G25:J25"/>
    <mergeCell ref="K25:N25"/>
    <mergeCell ref="O25:Q25"/>
    <mergeCell ref="R25:S25"/>
    <mergeCell ref="T25:U25"/>
    <mergeCell ref="V25:W25"/>
    <mergeCell ref="X25:Y25"/>
    <mergeCell ref="V26:W26"/>
    <mergeCell ref="X26:Y26"/>
    <mergeCell ref="C25:F25"/>
    <mergeCell ref="C26:F26"/>
    <mergeCell ref="G26:J26"/>
    <mergeCell ref="K26:N26"/>
    <mergeCell ref="O26:Q26"/>
    <mergeCell ref="R26:S26"/>
    <mergeCell ref="T26:U26"/>
    <mergeCell ref="R30:S30"/>
    <mergeCell ref="T30:U30"/>
    <mergeCell ref="V30:W30"/>
    <mergeCell ref="X30:Y30"/>
    <mergeCell ref="G35:J35"/>
    <mergeCell ref="K35:N35"/>
    <mergeCell ref="O35:Q35"/>
    <mergeCell ref="R35:S35"/>
    <mergeCell ref="T35:U35"/>
    <mergeCell ref="V35:W35"/>
    <mergeCell ref="X35:Y35"/>
    <mergeCell ref="G45:J45"/>
    <mergeCell ref="K45:N45"/>
    <mergeCell ref="O45:Q45"/>
    <mergeCell ref="R45:S45"/>
    <mergeCell ref="T45:U45"/>
    <mergeCell ref="V45:W45"/>
    <mergeCell ref="X45:Y45"/>
    <mergeCell ref="C45:F45"/>
    <mergeCell ref="C46:F46"/>
    <mergeCell ref="G46:J46"/>
    <mergeCell ref="K46:N46"/>
    <mergeCell ref="O46:Q46"/>
    <mergeCell ref="R46:S46"/>
    <mergeCell ref="T46:U46"/>
    <mergeCell ref="T47:U47"/>
    <mergeCell ref="V47:W47"/>
    <mergeCell ref="V46:W46"/>
    <mergeCell ref="X46:Y46"/>
    <mergeCell ref="G47:J47"/>
    <mergeCell ref="K47:N47"/>
    <mergeCell ref="O47:Q47"/>
    <mergeCell ref="R47:S47"/>
    <mergeCell ref="X47:Y47"/>
    <mergeCell ref="G69:J69"/>
    <mergeCell ref="K69:N69"/>
    <mergeCell ref="O69:Q69"/>
    <mergeCell ref="R69:S69"/>
    <mergeCell ref="T69:U69"/>
    <mergeCell ref="V69:W69"/>
    <mergeCell ref="X69:Y69"/>
    <mergeCell ref="C69:F69"/>
    <mergeCell ref="C70:F70"/>
    <mergeCell ref="G70:J70"/>
    <mergeCell ref="K70:N70"/>
    <mergeCell ref="O70:Q70"/>
    <mergeCell ref="R70:S70"/>
    <mergeCell ref="T70:U70"/>
    <mergeCell ref="R66:S66"/>
    <mergeCell ref="T66:U66"/>
    <mergeCell ref="C65:F65"/>
    <mergeCell ref="G65:J65"/>
    <mergeCell ref="K65:W65"/>
    <mergeCell ref="C66:F66"/>
    <mergeCell ref="G66:J66"/>
    <mergeCell ref="K66:N66"/>
    <mergeCell ref="O66:Q66"/>
    <mergeCell ref="G67:J67"/>
    <mergeCell ref="K67:N67"/>
    <mergeCell ref="O67:Q67"/>
    <mergeCell ref="R67:S67"/>
    <mergeCell ref="T67:U67"/>
    <mergeCell ref="V67:W67"/>
    <mergeCell ref="X67:Y67"/>
    <mergeCell ref="V68:W68"/>
    <mergeCell ref="X68:Y68"/>
    <mergeCell ref="C67:F67"/>
    <mergeCell ref="C68:F68"/>
    <mergeCell ref="G68:J68"/>
    <mergeCell ref="K68:N68"/>
    <mergeCell ref="O68:Q68"/>
    <mergeCell ref="R68:S68"/>
    <mergeCell ref="T68:U68"/>
    <mergeCell ref="V70:W70"/>
    <mergeCell ref="X70:Y70"/>
    <mergeCell ref="G71:J71"/>
    <mergeCell ref="K71:N71"/>
    <mergeCell ref="O71:Q71"/>
    <mergeCell ref="R71:S71"/>
    <mergeCell ref="T71:U71"/>
    <mergeCell ref="V71:W71"/>
    <mergeCell ref="X71:Y71"/>
    <mergeCell ref="O42:Q42"/>
    <mergeCell ref="R42:S42"/>
    <mergeCell ref="T42:U42"/>
    <mergeCell ref="V42:W42"/>
    <mergeCell ref="X42:Y42"/>
    <mergeCell ref="C35:F35"/>
    <mergeCell ref="C41:F41"/>
    <mergeCell ref="G41:J41"/>
    <mergeCell ref="K41:W41"/>
    <mergeCell ref="C42:F42"/>
    <mergeCell ref="G42:J42"/>
    <mergeCell ref="K42:N42"/>
    <mergeCell ref="G43:J43"/>
    <mergeCell ref="K43:N43"/>
    <mergeCell ref="O43:Q43"/>
    <mergeCell ref="R43:S43"/>
    <mergeCell ref="T43:U43"/>
    <mergeCell ref="V43:W43"/>
    <mergeCell ref="X43:Y43"/>
    <mergeCell ref="V44:W44"/>
    <mergeCell ref="X44:Y44"/>
    <mergeCell ref="C43:F43"/>
    <mergeCell ref="C44:F44"/>
    <mergeCell ref="G44:J44"/>
    <mergeCell ref="K44:N44"/>
    <mergeCell ref="O44:Q44"/>
    <mergeCell ref="R44:S44"/>
    <mergeCell ref="T44:U44"/>
    <mergeCell ref="T54:U54"/>
    <mergeCell ref="V54:W54"/>
    <mergeCell ref="X54:Y54"/>
    <mergeCell ref="G57:J57"/>
    <mergeCell ref="K57:N57"/>
    <mergeCell ref="O57:Q57"/>
    <mergeCell ref="R57:S57"/>
    <mergeCell ref="T57:U57"/>
    <mergeCell ref="V57:W57"/>
    <mergeCell ref="X57:Y57"/>
    <mergeCell ref="C57:F57"/>
    <mergeCell ref="C58:F58"/>
    <mergeCell ref="G58:J58"/>
    <mergeCell ref="K58:N58"/>
    <mergeCell ref="O58:Q58"/>
    <mergeCell ref="R58:S58"/>
    <mergeCell ref="T58:U58"/>
    <mergeCell ref="G59:J59"/>
    <mergeCell ref="K59:N59"/>
    <mergeCell ref="O59:Q59"/>
    <mergeCell ref="R59:S59"/>
    <mergeCell ref="T59:U59"/>
    <mergeCell ref="V59:W59"/>
    <mergeCell ref="X59:Y59"/>
    <mergeCell ref="C59:F59"/>
    <mergeCell ref="C60:F60"/>
    <mergeCell ref="G60:J60"/>
    <mergeCell ref="K60:N60"/>
    <mergeCell ref="O60:Q60"/>
    <mergeCell ref="R60:S60"/>
    <mergeCell ref="T60:U60"/>
    <mergeCell ref="T61:U61"/>
    <mergeCell ref="V61:W61"/>
    <mergeCell ref="V60:W60"/>
    <mergeCell ref="X60:Y60"/>
    <mergeCell ref="G61:J61"/>
    <mergeCell ref="K61:N61"/>
    <mergeCell ref="O61:Q61"/>
    <mergeCell ref="R61:S61"/>
    <mergeCell ref="X61:Y61"/>
    <mergeCell ref="V62:W62"/>
    <mergeCell ref="X62:Y62"/>
    <mergeCell ref="C61:F61"/>
    <mergeCell ref="C62:F62"/>
    <mergeCell ref="G62:J62"/>
    <mergeCell ref="K62:N62"/>
    <mergeCell ref="O62:Q62"/>
    <mergeCell ref="R62:S62"/>
    <mergeCell ref="T62:U62"/>
    <mergeCell ref="O54:Q54"/>
    <mergeCell ref="R54:S54"/>
    <mergeCell ref="C47:F47"/>
    <mergeCell ref="C53:F53"/>
    <mergeCell ref="G53:J53"/>
    <mergeCell ref="K53:W53"/>
    <mergeCell ref="C54:F54"/>
    <mergeCell ref="G54:J54"/>
    <mergeCell ref="K54:N54"/>
    <mergeCell ref="G55:J55"/>
    <mergeCell ref="K55:N55"/>
    <mergeCell ref="O55:Q55"/>
    <mergeCell ref="R55:S55"/>
    <mergeCell ref="T55:U55"/>
    <mergeCell ref="V55:W55"/>
    <mergeCell ref="X55:Y55"/>
    <mergeCell ref="V56:W56"/>
    <mergeCell ref="X56:Y56"/>
    <mergeCell ref="C55:F55"/>
    <mergeCell ref="C56:F56"/>
    <mergeCell ref="G56:J56"/>
    <mergeCell ref="K56:N56"/>
    <mergeCell ref="O56:Q56"/>
    <mergeCell ref="R56:S56"/>
    <mergeCell ref="T56:U56"/>
    <mergeCell ref="V58:W58"/>
    <mergeCell ref="X58:Y58"/>
    <mergeCell ref="V66:W66"/>
    <mergeCell ref="X66:Y66"/>
    <mergeCell ref="T83:U83"/>
    <mergeCell ref="V83:W83"/>
    <mergeCell ref="V82:W82"/>
    <mergeCell ref="X82:Y82"/>
    <mergeCell ref="G83:J83"/>
    <mergeCell ref="K83:N83"/>
    <mergeCell ref="O83:Q83"/>
    <mergeCell ref="R83:S83"/>
    <mergeCell ref="X83:Y83"/>
    <mergeCell ref="G81:J81"/>
    <mergeCell ref="K81:N81"/>
    <mergeCell ref="O81:Q81"/>
    <mergeCell ref="R81:S81"/>
    <mergeCell ref="T81:U81"/>
    <mergeCell ref="V81:W81"/>
    <mergeCell ref="X81:Y81"/>
    <mergeCell ref="C81:F81"/>
    <mergeCell ref="C82:F82"/>
    <mergeCell ref="G82:J82"/>
    <mergeCell ref="K82:N82"/>
    <mergeCell ref="O82:Q82"/>
    <mergeCell ref="R82:S82"/>
    <mergeCell ref="T82:U82"/>
    <mergeCell ref="O78:Q78"/>
    <mergeCell ref="R78:S78"/>
    <mergeCell ref="T78:U78"/>
    <mergeCell ref="V78:W78"/>
    <mergeCell ref="X78:Y78"/>
    <mergeCell ref="C71:F71"/>
    <mergeCell ref="C77:F77"/>
    <mergeCell ref="G77:J77"/>
    <mergeCell ref="K77:W77"/>
    <mergeCell ref="C78:F78"/>
    <mergeCell ref="G78:J78"/>
    <mergeCell ref="K78:N78"/>
    <mergeCell ref="G79:J79"/>
    <mergeCell ref="K79:N79"/>
    <mergeCell ref="O79:Q79"/>
    <mergeCell ref="R79:S79"/>
    <mergeCell ref="T79:U79"/>
    <mergeCell ref="V79:W79"/>
    <mergeCell ref="X79:Y79"/>
    <mergeCell ref="V80:W80"/>
    <mergeCell ref="X80:Y80"/>
    <mergeCell ref="C79:F79"/>
    <mergeCell ref="C80:F80"/>
    <mergeCell ref="G80:J80"/>
    <mergeCell ref="K80:N80"/>
    <mergeCell ref="O80:Q80"/>
    <mergeCell ref="R80:S80"/>
    <mergeCell ref="T80:U80"/>
    <mergeCell ref="T90:U90"/>
    <mergeCell ref="V90:W90"/>
    <mergeCell ref="X90:Y90"/>
    <mergeCell ref="G93:J93"/>
    <mergeCell ref="K93:N93"/>
    <mergeCell ref="O93:Q93"/>
    <mergeCell ref="R93:S93"/>
    <mergeCell ref="T93:U93"/>
    <mergeCell ref="V93:W93"/>
    <mergeCell ref="X93:Y93"/>
    <mergeCell ref="C93:F93"/>
    <mergeCell ref="C94:F94"/>
    <mergeCell ref="G94:J94"/>
    <mergeCell ref="K94:N94"/>
    <mergeCell ref="O94:Q94"/>
    <mergeCell ref="R94:S94"/>
    <mergeCell ref="T94:U94"/>
    <mergeCell ref="O90:Q90"/>
    <mergeCell ref="R90:S90"/>
    <mergeCell ref="C83:F83"/>
    <mergeCell ref="C89:F89"/>
    <mergeCell ref="G89:J89"/>
    <mergeCell ref="K89:W89"/>
    <mergeCell ref="C90:F90"/>
    <mergeCell ref="G90:J90"/>
    <mergeCell ref="K90:N90"/>
    <mergeCell ref="G91:J91"/>
    <mergeCell ref="K91:N91"/>
    <mergeCell ref="O91:Q91"/>
    <mergeCell ref="R91:S91"/>
    <mergeCell ref="T91:U91"/>
    <mergeCell ref="V91:W91"/>
    <mergeCell ref="X91:Y91"/>
    <mergeCell ref="V92:W92"/>
    <mergeCell ref="X92:Y92"/>
    <mergeCell ref="C91:F91"/>
    <mergeCell ref="C92:F92"/>
    <mergeCell ref="G92:J92"/>
    <mergeCell ref="K92:N92"/>
    <mergeCell ref="O92:Q92"/>
    <mergeCell ref="R92:S92"/>
    <mergeCell ref="T92:U92"/>
    <mergeCell ref="V94:W94"/>
    <mergeCell ref="X94:Y94"/>
    <mergeCell ref="G95:J95"/>
    <mergeCell ref="K95:N95"/>
    <mergeCell ref="O95:Q95"/>
    <mergeCell ref="R95:S95"/>
    <mergeCell ref="T95:U95"/>
    <mergeCell ref="V95:W95"/>
    <mergeCell ref="X95:Y95"/>
    <mergeCell ref="G105:J105"/>
    <mergeCell ref="K105:N105"/>
    <mergeCell ref="O105:Q105"/>
    <mergeCell ref="R105:S105"/>
    <mergeCell ref="T105:U105"/>
    <mergeCell ref="V105:W105"/>
    <mergeCell ref="X105:Y105"/>
    <mergeCell ref="C105:F105"/>
    <mergeCell ref="C106:F106"/>
    <mergeCell ref="G106:J106"/>
    <mergeCell ref="K106:N106"/>
    <mergeCell ref="O106:Q106"/>
    <mergeCell ref="R106:S106"/>
    <mergeCell ref="T106:U106"/>
    <mergeCell ref="T107:U107"/>
    <mergeCell ref="V107:W107"/>
    <mergeCell ref="V106:W106"/>
    <mergeCell ref="X106:Y106"/>
    <mergeCell ref="G107:J107"/>
    <mergeCell ref="K107:N107"/>
    <mergeCell ref="O107:Q107"/>
    <mergeCell ref="R107:S107"/>
    <mergeCell ref="X107:Y107"/>
    <mergeCell ref="G117:J117"/>
    <mergeCell ref="K117:N117"/>
    <mergeCell ref="O117:Q117"/>
    <mergeCell ref="R117:S117"/>
    <mergeCell ref="T117:U117"/>
    <mergeCell ref="V117:W117"/>
    <mergeCell ref="X117:Y117"/>
    <mergeCell ref="C117:F117"/>
    <mergeCell ref="C118:F118"/>
    <mergeCell ref="G118:J118"/>
    <mergeCell ref="K118:N118"/>
    <mergeCell ref="O118:Q118"/>
    <mergeCell ref="R118:S118"/>
    <mergeCell ref="T118:U118"/>
    <mergeCell ref="O102:Q102"/>
    <mergeCell ref="R102:S102"/>
    <mergeCell ref="T102:U102"/>
    <mergeCell ref="V102:W102"/>
    <mergeCell ref="X102:Y102"/>
    <mergeCell ref="C95:F95"/>
    <mergeCell ref="C101:F101"/>
    <mergeCell ref="G101:J101"/>
    <mergeCell ref="K101:W101"/>
    <mergeCell ref="C102:F102"/>
    <mergeCell ref="G102:J102"/>
    <mergeCell ref="K102:N102"/>
    <mergeCell ref="G103:J103"/>
    <mergeCell ref="K103:N103"/>
    <mergeCell ref="O103:Q103"/>
    <mergeCell ref="R103:S103"/>
    <mergeCell ref="T103:U103"/>
    <mergeCell ref="V103:W103"/>
    <mergeCell ref="X103:Y103"/>
    <mergeCell ref="V104:W104"/>
    <mergeCell ref="X104:Y104"/>
    <mergeCell ref="C103:F103"/>
    <mergeCell ref="C104:F104"/>
    <mergeCell ref="G104:J104"/>
    <mergeCell ref="K104:N104"/>
    <mergeCell ref="O104:Q104"/>
    <mergeCell ref="R104:S104"/>
    <mergeCell ref="T104:U104"/>
    <mergeCell ref="T114:U114"/>
    <mergeCell ref="V114:W114"/>
    <mergeCell ref="X114:Y114"/>
    <mergeCell ref="O114:Q114"/>
    <mergeCell ref="R114:S114"/>
    <mergeCell ref="C107:F107"/>
    <mergeCell ref="C113:F113"/>
    <mergeCell ref="G113:J113"/>
    <mergeCell ref="K113:W113"/>
    <mergeCell ref="C114:F114"/>
    <mergeCell ref="G114:J114"/>
    <mergeCell ref="K114:N114"/>
    <mergeCell ref="G115:J115"/>
    <mergeCell ref="K115:N115"/>
    <mergeCell ref="O115:Q115"/>
    <mergeCell ref="R115:S115"/>
    <mergeCell ref="T115:U115"/>
    <mergeCell ref="V115:W115"/>
    <mergeCell ref="X115:Y115"/>
    <mergeCell ref="V116:W116"/>
    <mergeCell ref="X116:Y116"/>
    <mergeCell ref="C115:F115"/>
    <mergeCell ref="C116:F116"/>
    <mergeCell ref="G116:J116"/>
    <mergeCell ref="K116:N116"/>
    <mergeCell ref="O116:Q116"/>
    <mergeCell ref="R116:S116"/>
    <mergeCell ref="T116:U116"/>
    <mergeCell ref="V118:W118"/>
    <mergeCell ref="X118:Y118"/>
    <mergeCell ref="G119:J119"/>
    <mergeCell ref="K119:N119"/>
    <mergeCell ref="O119:Q119"/>
    <mergeCell ref="R119:S119"/>
    <mergeCell ref="T119:U119"/>
    <mergeCell ref="V119:W119"/>
    <mergeCell ref="X119:Y119"/>
    <mergeCell ref="G129:J129"/>
    <mergeCell ref="K129:N129"/>
    <mergeCell ref="O129:Q129"/>
    <mergeCell ref="R129:S129"/>
    <mergeCell ref="T129:U129"/>
    <mergeCell ref="V129:W129"/>
    <mergeCell ref="X129:Y129"/>
    <mergeCell ref="C129:F129"/>
    <mergeCell ref="C130:F130"/>
    <mergeCell ref="G130:J130"/>
    <mergeCell ref="K130:N130"/>
    <mergeCell ref="O130:Q130"/>
    <mergeCell ref="R130:S130"/>
    <mergeCell ref="T130:U130"/>
    <mergeCell ref="T131:U131"/>
    <mergeCell ref="V131:W131"/>
    <mergeCell ref="V130:W130"/>
    <mergeCell ref="X130:Y130"/>
    <mergeCell ref="G131:J131"/>
    <mergeCell ref="K131:N131"/>
    <mergeCell ref="O131:Q131"/>
    <mergeCell ref="R131:S131"/>
    <mergeCell ref="X131:Y131"/>
    <mergeCell ref="G141:J141"/>
    <mergeCell ref="K141:N141"/>
    <mergeCell ref="O141:Q141"/>
    <mergeCell ref="R141:S141"/>
    <mergeCell ref="T141:U141"/>
    <mergeCell ref="V141:W141"/>
    <mergeCell ref="X141:Y141"/>
    <mergeCell ref="C141:F141"/>
    <mergeCell ref="C142:F142"/>
    <mergeCell ref="G142:J142"/>
    <mergeCell ref="K142:N142"/>
    <mergeCell ref="O142:Q142"/>
    <mergeCell ref="R142:S142"/>
    <mergeCell ref="T142:U142"/>
    <mergeCell ref="G143:J143"/>
    <mergeCell ref="K143:N143"/>
    <mergeCell ref="O143:Q143"/>
    <mergeCell ref="R143:S143"/>
    <mergeCell ref="T143:U143"/>
    <mergeCell ref="V143:W143"/>
    <mergeCell ref="X143:Y143"/>
    <mergeCell ref="C143:F143"/>
    <mergeCell ref="C144:F144"/>
    <mergeCell ref="G144:J144"/>
    <mergeCell ref="K144:N144"/>
    <mergeCell ref="O144:Q144"/>
    <mergeCell ref="R144:S144"/>
    <mergeCell ref="T144:U144"/>
    <mergeCell ref="T145:U145"/>
    <mergeCell ref="V145:W145"/>
    <mergeCell ref="V144:W144"/>
    <mergeCell ref="X144:Y144"/>
    <mergeCell ref="G145:J145"/>
    <mergeCell ref="K145:N145"/>
    <mergeCell ref="O145:Q145"/>
    <mergeCell ref="R145:S145"/>
    <mergeCell ref="X145:Y145"/>
    <mergeCell ref="O126:Q126"/>
    <mergeCell ref="R126:S126"/>
    <mergeCell ref="T126:U126"/>
    <mergeCell ref="V126:W126"/>
    <mergeCell ref="X126:Y126"/>
    <mergeCell ref="C119:F119"/>
    <mergeCell ref="C125:F125"/>
    <mergeCell ref="G125:J125"/>
    <mergeCell ref="K125:W125"/>
    <mergeCell ref="C126:F126"/>
    <mergeCell ref="G126:J126"/>
    <mergeCell ref="K126:N126"/>
    <mergeCell ref="G127:J127"/>
    <mergeCell ref="K127:N127"/>
    <mergeCell ref="O127:Q127"/>
    <mergeCell ref="R127:S127"/>
    <mergeCell ref="T127:U127"/>
    <mergeCell ref="V127:W127"/>
    <mergeCell ref="X127:Y127"/>
    <mergeCell ref="V128:W128"/>
    <mergeCell ref="X128:Y128"/>
    <mergeCell ref="C127:F127"/>
    <mergeCell ref="C128:F128"/>
    <mergeCell ref="G128:J128"/>
    <mergeCell ref="K128:N128"/>
    <mergeCell ref="O128:Q128"/>
    <mergeCell ref="R128:S128"/>
    <mergeCell ref="T128:U128"/>
    <mergeCell ref="T138:U138"/>
    <mergeCell ref="V138:W138"/>
    <mergeCell ref="X138:Y138"/>
    <mergeCell ref="O138:Q138"/>
    <mergeCell ref="R138:S138"/>
    <mergeCell ref="C131:F131"/>
    <mergeCell ref="C137:F137"/>
    <mergeCell ref="G137:J137"/>
    <mergeCell ref="K137:W137"/>
    <mergeCell ref="C138:F138"/>
    <mergeCell ref="G138:J138"/>
    <mergeCell ref="K138:N138"/>
    <mergeCell ref="G139:J139"/>
    <mergeCell ref="K139:N139"/>
    <mergeCell ref="O139:Q139"/>
    <mergeCell ref="R139:S139"/>
    <mergeCell ref="T139:U139"/>
    <mergeCell ref="V139:W139"/>
    <mergeCell ref="X139:Y139"/>
    <mergeCell ref="V140:W140"/>
    <mergeCell ref="X140:Y140"/>
    <mergeCell ref="C139:F139"/>
    <mergeCell ref="C140:F140"/>
    <mergeCell ref="G140:J140"/>
    <mergeCell ref="K140:N140"/>
    <mergeCell ref="O140:Q140"/>
    <mergeCell ref="R140:S140"/>
    <mergeCell ref="T140:U140"/>
    <mergeCell ref="V142:W142"/>
    <mergeCell ref="X142:Y142"/>
    <mergeCell ref="T150:U150"/>
    <mergeCell ref="V150:W150"/>
    <mergeCell ref="X150:Y150"/>
    <mergeCell ref="G153:J153"/>
    <mergeCell ref="K153:N153"/>
    <mergeCell ref="O153:Q153"/>
    <mergeCell ref="R153:S153"/>
    <mergeCell ref="T153:U153"/>
    <mergeCell ref="V153:W153"/>
    <mergeCell ref="X153:Y153"/>
    <mergeCell ref="C153:F153"/>
    <mergeCell ref="C154:F154"/>
    <mergeCell ref="G154:J154"/>
    <mergeCell ref="K154:N154"/>
    <mergeCell ref="O154:Q154"/>
    <mergeCell ref="R154:S154"/>
    <mergeCell ref="T154:U154"/>
    <mergeCell ref="G155:J155"/>
    <mergeCell ref="K155:N155"/>
    <mergeCell ref="O155:Q155"/>
    <mergeCell ref="R155:S155"/>
    <mergeCell ref="T155:U155"/>
    <mergeCell ref="V155:W155"/>
    <mergeCell ref="X155:Y155"/>
    <mergeCell ref="C155:F155"/>
    <mergeCell ref="C156:F156"/>
    <mergeCell ref="G156:J156"/>
    <mergeCell ref="K156:N156"/>
    <mergeCell ref="O156:Q156"/>
    <mergeCell ref="R156:S156"/>
    <mergeCell ref="T156:U156"/>
    <mergeCell ref="T163:U163"/>
    <mergeCell ref="V163:W163"/>
    <mergeCell ref="X163:Y163"/>
    <mergeCell ref="R162:S162"/>
    <mergeCell ref="T162:U162"/>
    <mergeCell ref="C163:F163"/>
    <mergeCell ref="G163:J163"/>
    <mergeCell ref="K163:N163"/>
    <mergeCell ref="O163:Q163"/>
    <mergeCell ref="R163:S163"/>
    <mergeCell ref="G164:J164"/>
    <mergeCell ref="K164:N164"/>
    <mergeCell ref="O164:Q164"/>
    <mergeCell ref="R164:S164"/>
    <mergeCell ref="T164:U164"/>
    <mergeCell ref="V164:W164"/>
    <mergeCell ref="X164:Y164"/>
    <mergeCell ref="C164:F164"/>
    <mergeCell ref="C165:F165"/>
    <mergeCell ref="G165:J165"/>
    <mergeCell ref="K165:N165"/>
    <mergeCell ref="O165:Q165"/>
    <mergeCell ref="R165:S165"/>
    <mergeCell ref="T165:U165"/>
    <mergeCell ref="T166:U166"/>
    <mergeCell ref="V166:W166"/>
    <mergeCell ref="V165:W165"/>
    <mergeCell ref="X165:Y165"/>
    <mergeCell ref="G166:J166"/>
    <mergeCell ref="K166:N166"/>
    <mergeCell ref="O166:Q166"/>
    <mergeCell ref="R166:S166"/>
    <mergeCell ref="X166:Y16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9.75"/>
    <col customWidth="1" min="3" max="3" width="32.13"/>
    <col customWidth="1" min="4" max="9" width="3.88"/>
    <col customWidth="1" min="10" max="10" width="23.5"/>
    <col customWidth="1" min="11" max="22" width="3.88"/>
    <col customWidth="1" min="23" max="23" width="4.63"/>
    <col customWidth="1" min="24" max="24" width="17.0"/>
    <col customWidth="1" min="25" max="25" width="30.38"/>
  </cols>
  <sheetData>
    <row r="1" ht="39.0" customHeight="1">
      <c r="A1" s="101" t="s">
        <v>368</v>
      </c>
    </row>
    <row r="2" ht="28.5" customHeight="1"/>
    <row r="3" ht="52.5" customHeight="1">
      <c r="A3" s="102">
        <f>'Invetario de Tablas'!A4</f>
        <v>1</v>
      </c>
      <c r="B3" s="103" t="s">
        <v>134</v>
      </c>
      <c r="C3" s="104" t="str">
        <f>'Invetario de Tablas'!B4</f>
        <v>usuario</v>
      </c>
      <c r="D3" s="105"/>
      <c r="E3" s="105"/>
      <c r="F3" s="106"/>
      <c r="G3" s="103" t="s">
        <v>135</v>
      </c>
      <c r="H3" s="32"/>
      <c r="I3" s="32"/>
      <c r="J3" s="33"/>
      <c r="K3" s="107" t="str">
        <f>'Invetario de Tablas'!C4</f>
        <v>datos del usuario dentro de la red social</v>
      </c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6"/>
      <c r="X3" s="108" t="s">
        <v>186</v>
      </c>
      <c r="Y3" s="109" t="s">
        <v>369</v>
      </c>
    </row>
    <row r="4" ht="35.25" customHeight="1">
      <c r="A4" s="110" t="s">
        <v>1</v>
      </c>
      <c r="B4" s="111" t="s">
        <v>187</v>
      </c>
      <c r="C4" s="112" t="s">
        <v>188</v>
      </c>
      <c r="F4" s="113"/>
      <c r="G4" s="114" t="s">
        <v>370</v>
      </c>
      <c r="H4" s="88"/>
      <c r="I4" s="88"/>
      <c r="J4" s="89"/>
      <c r="K4" s="112" t="s">
        <v>190</v>
      </c>
      <c r="N4" s="113"/>
      <c r="O4" s="112" t="s">
        <v>191</v>
      </c>
      <c r="Q4" s="113"/>
      <c r="R4" s="112" t="s">
        <v>192</v>
      </c>
      <c r="S4" s="113"/>
      <c r="T4" s="112" t="s">
        <v>193</v>
      </c>
      <c r="U4" s="113"/>
      <c r="V4" s="112" t="s">
        <v>194</v>
      </c>
      <c r="W4" s="113"/>
      <c r="X4" s="114" t="s">
        <v>195</v>
      </c>
      <c r="Y4" s="115"/>
    </row>
    <row r="5" ht="30.0" customHeight="1">
      <c r="A5" s="41">
        <v>1.0</v>
      </c>
      <c r="B5" s="42" t="s">
        <v>196</v>
      </c>
      <c r="C5" s="43" t="s">
        <v>197</v>
      </c>
      <c r="D5" s="5"/>
      <c r="E5" s="5"/>
      <c r="F5" s="6"/>
      <c r="G5" s="116" t="s">
        <v>371</v>
      </c>
      <c r="H5" s="5"/>
      <c r="I5" s="5"/>
      <c r="J5" s="6"/>
      <c r="K5" s="45">
        <v>15.0</v>
      </c>
      <c r="L5" s="5"/>
      <c r="M5" s="5"/>
      <c r="N5" s="6"/>
      <c r="O5" s="45" t="s">
        <v>199</v>
      </c>
      <c r="P5" s="5"/>
      <c r="Q5" s="6"/>
      <c r="R5" s="46" t="s">
        <v>200</v>
      </c>
      <c r="S5" s="6"/>
      <c r="T5" s="47"/>
      <c r="U5" s="6"/>
      <c r="V5" s="47"/>
      <c r="W5" s="6"/>
      <c r="X5" s="47"/>
      <c r="Y5" s="6"/>
    </row>
    <row r="6" ht="30.0" customHeight="1">
      <c r="A6" s="41">
        <v>2.0</v>
      </c>
      <c r="B6" s="42" t="s">
        <v>201</v>
      </c>
      <c r="C6" s="43" t="s">
        <v>202</v>
      </c>
      <c r="D6" s="5"/>
      <c r="E6" s="5"/>
      <c r="F6" s="6"/>
      <c r="G6" s="45" t="s">
        <v>203</v>
      </c>
      <c r="H6" s="5"/>
      <c r="I6" s="5"/>
      <c r="J6" s="6"/>
      <c r="K6" s="45">
        <v>50.0</v>
      </c>
      <c r="L6" s="5"/>
      <c r="M6" s="5"/>
      <c r="N6" s="6"/>
      <c r="O6" s="45" t="s">
        <v>199</v>
      </c>
      <c r="P6" s="5"/>
      <c r="Q6" s="6"/>
      <c r="R6" s="47"/>
      <c r="S6" s="6"/>
      <c r="T6" s="47"/>
      <c r="U6" s="6"/>
      <c r="V6" s="47"/>
      <c r="W6" s="6"/>
      <c r="X6" s="47"/>
      <c r="Y6" s="6"/>
    </row>
    <row r="7" ht="30.0" customHeight="1">
      <c r="A7" s="41">
        <v>3.0</v>
      </c>
      <c r="B7" s="42" t="s">
        <v>204</v>
      </c>
      <c r="C7" s="43" t="s">
        <v>205</v>
      </c>
      <c r="D7" s="5"/>
      <c r="E7" s="5"/>
      <c r="F7" s="6"/>
      <c r="G7" s="45" t="s">
        <v>203</v>
      </c>
      <c r="H7" s="5"/>
      <c r="I7" s="5"/>
      <c r="J7" s="6"/>
      <c r="K7" s="45">
        <v>50.0</v>
      </c>
      <c r="L7" s="5"/>
      <c r="M7" s="5"/>
      <c r="N7" s="6"/>
      <c r="O7" s="45" t="s">
        <v>206</v>
      </c>
      <c r="P7" s="5"/>
      <c r="Q7" s="6"/>
      <c r="R7" s="47"/>
      <c r="S7" s="6"/>
      <c r="T7" s="47"/>
      <c r="U7" s="6"/>
      <c r="V7" s="47"/>
      <c r="W7" s="6"/>
      <c r="X7" s="47"/>
      <c r="Y7" s="6"/>
    </row>
    <row r="8" ht="30.0" customHeight="1">
      <c r="A8" s="41">
        <v>4.0</v>
      </c>
      <c r="B8" s="42" t="s">
        <v>207</v>
      </c>
      <c r="C8" s="43" t="s">
        <v>208</v>
      </c>
      <c r="D8" s="5"/>
      <c r="E8" s="5"/>
      <c r="F8" s="6"/>
      <c r="G8" s="45" t="s">
        <v>203</v>
      </c>
      <c r="H8" s="5"/>
      <c r="I8" s="5"/>
      <c r="J8" s="6"/>
      <c r="K8" s="45">
        <v>50.0</v>
      </c>
      <c r="L8" s="5"/>
      <c r="M8" s="5"/>
      <c r="N8" s="6"/>
      <c r="O8" s="45" t="s">
        <v>199</v>
      </c>
      <c r="P8" s="5"/>
      <c r="Q8" s="6"/>
      <c r="R8" s="47"/>
      <c r="S8" s="6"/>
      <c r="T8" s="47"/>
      <c r="U8" s="6"/>
      <c r="V8" s="47"/>
      <c r="W8" s="6"/>
      <c r="X8" s="47"/>
      <c r="Y8" s="6"/>
    </row>
    <row r="9" ht="30.0" customHeight="1">
      <c r="A9" s="41">
        <v>5.0</v>
      </c>
      <c r="B9" s="42" t="s">
        <v>209</v>
      </c>
      <c r="C9" s="43" t="s">
        <v>210</v>
      </c>
      <c r="D9" s="5"/>
      <c r="E9" s="5"/>
      <c r="F9" s="6"/>
      <c r="G9" s="45" t="s">
        <v>203</v>
      </c>
      <c r="H9" s="5"/>
      <c r="I9" s="5"/>
      <c r="J9" s="6"/>
      <c r="K9" s="45">
        <v>50.0</v>
      </c>
      <c r="L9" s="5"/>
      <c r="M9" s="5"/>
      <c r="N9" s="6"/>
      <c r="O9" s="45" t="s">
        <v>206</v>
      </c>
      <c r="P9" s="5"/>
      <c r="Q9" s="6"/>
      <c r="R9" s="47"/>
      <c r="S9" s="6"/>
      <c r="T9" s="47"/>
      <c r="U9" s="6"/>
      <c r="V9" s="47"/>
      <c r="W9" s="6"/>
      <c r="X9" s="47"/>
      <c r="Y9" s="6"/>
    </row>
    <row r="10" ht="30.0" customHeight="1">
      <c r="A10" s="48">
        <v>6.0</v>
      </c>
      <c r="B10" s="42" t="s">
        <v>211</v>
      </c>
      <c r="C10" s="43" t="s">
        <v>212</v>
      </c>
      <c r="D10" s="5"/>
      <c r="E10" s="5"/>
      <c r="F10" s="6"/>
      <c r="G10" s="45" t="s">
        <v>203</v>
      </c>
      <c r="H10" s="5"/>
      <c r="I10" s="5"/>
      <c r="J10" s="6"/>
      <c r="K10" s="45">
        <v>100.0</v>
      </c>
      <c r="L10" s="5"/>
      <c r="M10" s="5"/>
      <c r="N10" s="6"/>
      <c r="O10" s="45" t="s">
        <v>206</v>
      </c>
      <c r="P10" s="5"/>
      <c r="Q10" s="6"/>
      <c r="R10" s="47"/>
      <c r="S10" s="6"/>
      <c r="T10" s="47"/>
      <c r="U10" s="6"/>
      <c r="V10" s="47"/>
      <c r="W10" s="6"/>
      <c r="X10" s="47"/>
      <c r="Y10" s="6"/>
    </row>
    <row r="11" ht="30.0" customHeight="1">
      <c r="A11" s="48">
        <v>7.0</v>
      </c>
      <c r="B11" s="42" t="s">
        <v>213</v>
      </c>
      <c r="C11" s="43" t="s">
        <v>214</v>
      </c>
      <c r="D11" s="5"/>
      <c r="E11" s="5"/>
      <c r="F11" s="6"/>
      <c r="G11" s="45" t="s">
        <v>203</v>
      </c>
      <c r="H11" s="5"/>
      <c r="I11" s="5"/>
      <c r="J11" s="6"/>
      <c r="K11" s="45">
        <v>100.0</v>
      </c>
      <c r="L11" s="5"/>
      <c r="M11" s="5"/>
      <c r="N11" s="6"/>
      <c r="O11" s="45" t="s">
        <v>199</v>
      </c>
      <c r="P11" s="5"/>
      <c r="Q11" s="6"/>
      <c r="R11" s="47"/>
      <c r="S11" s="6"/>
      <c r="T11" s="47"/>
      <c r="U11" s="6"/>
      <c r="V11" s="46" t="s">
        <v>200</v>
      </c>
      <c r="W11" s="6"/>
      <c r="X11" s="47"/>
      <c r="Y11" s="6"/>
    </row>
    <row r="12" ht="28.5" customHeight="1">
      <c r="A12" s="48">
        <v>8.0</v>
      </c>
      <c r="B12" s="42" t="s">
        <v>215</v>
      </c>
      <c r="C12" s="43" t="s">
        <v>216</v>
      </c>
      <c r="D12" s="5"/>
      <c r="E12" s="5"/>
      <c r="F12" s="6"/>
      <c r="G12" s="45" t="s">
        <v>203</v>
      </c>
      <c r="H12" s="5"/>
      <c r="I12" s="5"/>
      <c r="J12" s="6"/>
      <c r="K12" s="45">
        <v>15.0</v>
      </c>
      <c r="L12" s="5"/>
      <c r="M12" s="5"/>
      <c r="N12" s="6"/>
      <c r="O12" s="45" t="s">
        <v>199</v>
      </c>
      <c r="P12" s="5"/>
      <c r="Q12" s="6"/>
      <c r="R12" s="47"/>
      <c r="S12" s="6"/>
      <c r="T12" s="47"/>
      <c r="U12" s="6"/>
      <c r="V12" s="47"/>
      <c r="W12" s="6"/>
      <c r="X12" s="47"/>
      <c r="Y12" s="6"/>
    </row>
    <row r="13" ht="36.0" customHeight="1">
      <c r="A13" s="49">
        <v>9.0</v>
      </c>
      <c r="B13" s="50" t="s">
        <v>217</v>
      </c>
      <c r="C13" s="51" t="s">
        <v>218</v>
      </c>
      <c r="D13" s="5"/>
      <c r="E13" s="5"/>
      <c r="F13" s="6"/>
      <c r="G13" s="52" t="s">
        <v>203</v>
      </c>
      <c r="H13" s="5"/>
      <c r="I13" s="5"/>
      <c r="J13" s="6"/>
      <c r="K13" s="52">
        <v>30.0</v>
      </c>
      <c r="L13" s="5"/>
      <c r="M13" s="5"/>
      <c r="N13" s="6"/>
      <c r="O13" s="52" t="s">
        <v>199</v>
      </c>
      <c r="P13" s="5"/>
      <c r="Q13" s="6"/>
      <c r="R13" s="53"/>
      <c r="S13" s="6"/>
      <c r="T13" s="53"/>
      <c r="U13" s="6"/>
      <c r="V13" s="54" t="s">
        <v>200</v>
      </c>
      <c r="W13" s="6"/>
      <c r="X13" s="53"/>
      <c r="Y13" s="6"/>
    </row>
    <row r="14" ht="36.0" customHeight="1">
      <c r="A14" s="79">
        <v>10.0</v>
      </c>
      <c r="B14" s="50" t="s">
        <v>219</v>
      </c>
      <c r="C14" s="51" t="s">
        <v>220</v>
      </c>
      <c r="D14" s="5"/>
      <c r="E14" s="5"/>
      <c r="F14" s="6"/>
      <c r="G14" s="94" t="s">
        <v>372</v>
      </c>
      <c r="H14" s="5"/>
      <c r="I14" s="5"/>
      <c r="J14" s="6"/>
      <c r="K14" s="52">
        <v>6.0</v>
      </c>
      <c r="L14" s="5"/>
      <c r="M14" s="5"/>
      <c r="N14" s="6"/>
      <c r="O14" s="52" t="s">
        <v>199</v>
      </c>
      <c r="P14" s="5"/>
      <c r="Q14" s="6"/>
      <c r="R14" s="53"/>
      <c r="S14" s="6"/>
      <c r="T14" s="54" t="s">
        <v>200</v>
      </c>
      <c r="U14" s="6"/>
      <c r="V14" s="53"/>
      <c r="W14" s="6"/>
      <c r="X14" s="53"/>
      <c r="Y14" s="6"/>
    </row>
    <row r="15" ht="36.0" customHeight="1"/>
    <row r="16" ht="36.0" customHeight="1"/>
    <row r="17" ht="36.0" customHeight="1"/>
    <row r="18" ht="41.25" customHeight="1">
      <c r="A18" s="102">
        <f>'Invetario de Tablas'!A5</f>
        <v>2</v>
      </c>
      <c r="B18" s="103" t="s">
        <v>134</v>
      </c>
      <c r="C18" s="104" t="str">
        <f>'Invetario de Tablas'!B5</f>
        <v>rol</v>
      </c>
      <c r="D18" s="105"/>
      <c r="E18" s="105"/>
      <c r="F18" s="106"/>
      <c r="G18" s="103" t="s">
        <v>135</v>
      </c>
      <c r="H18" s="32"/>
      <c r="I18" s="32"/>
      <c r="J18" s="33"/>
      <c r="K18" s="107" t="str">
        <f>'Invetario de Tablas'!C5</f>
        <v>rol del usuario dentro de la red social</v>
      </c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6"/>
      <c r="X18" s="108" t="s">
        <v>186</v>
      </c>
      <c r="Y18" s="117" t="str">
        <f>Y3</f>
        <v>1.0</v>
      </c>
    </row>
    <row r="19" ht="32.25" customHeight="1">
      <c r="A19" s="110" t="s">
        <v>1</v>
      </c>
      <c r="B19" s="111" t="s">
        <v>187</v>
      </c>
      <c r="C19" s="112" t="s">
        <v>188</v>
      </c>
      <c r="F19" s="113"/>
      <c r="G19" s="114" t="s">
        <v>370</v>
      </c>
      <c r="H19" s="88"/>
      <c r="I19" s="88"/>
      <c r="J19" s="89"/>
      <c r="K19" s="112" t="s">
        <v>190</v>
      </c>
      <c r="N19" s="113"/>
      <c r="O19" s="112" t="s">
        <v>191</v>
      </c>
      <c r="Q19" s="113"/>
      <c r="R19" s="112" t="s">
        <v>192</v>
      </c>
      <c r="S19" s="113"/>
      <c r="T19" s="112" t="s">
        <v>193</v>
      </c>
      <c r="U19" s="113"/>
      <c r="V19" s="112" t="s">
        <v>194</v>
      </c>
      <c r="W19" s="113"/>
      <c r="X19" s="114" t="s">
        <v>195</v>
      </c>
      <c r="Y19" s="115"/>
    </row>
    <row r="20" ht="30.0" customHeight="1">
      <c r="A20" s="41">
        <v>1.0</v>
      </c>
      <c r="B20" s="42" t="s">
        <v>219</v>
      </c>
      <c r="C20" s="43" t="s">
        <v>220</v>
      </c>
      <c r="D20" s="5"/>
      <c r="E20" s="5"/>
      <c r="F20" s="6"/>
      <c r="G20" s="94" t="s">
        <v>373</v>
      </c>
      <c r="H20" s="5"/>
      <c r="I20" s="5"/>
      <c r="J20" s="6"/>
      <c r="K20" s="45">
        <v>6.0</v>
      </c>
      <c r="L20" s="5"/>
      <c r="M20" s="5"/>
      <c r="N20" s="6"/>
      <c r="O20" s="45" t="s">
        <v>199</v>
      </c>
      <c r="P20" s="5"/>
      <c r="Q20" s="6"/>
      <c r="R20" s="46" t="s">
        <v>200</v>
      </c>
      <c r="S20" s="6"/>
      <c r="T20" s="47"/>
      <c r="U20" s="6"/>
      <c r="V20" s="47"/>
      <c r="W20" s="6"/>
      <c r="X20" s="47"/>
      <c r="Y20" s="6"/>
    </row>
    <row r="21" ht="30.0" customHeight="1">
      <c r="A21" s="118">
        <v>2.0</v>
      </c>
      <c r="B21" s="119" t="s">
        <v>224</v>
      </c>
      <c r="C21" s="120" t="s">
        <v>225</v>
      </c>
      <c r="D21" s="88"/>
      <c r="E21" s="88"/>
      <c r="F21" s="89"/>
      <c r="G21" s="121" t="s">
        <v>203</v>
      </c>
      <c r="H21" s="88"/>
      <c r="I21" s="88"/>
      <c r="J21" s="89"/>
      <c r="K21" s="121">
        <v>20.0</v>
      </c>
      <c r="L21" s="88"/>
      <c r="M21" s="88"/>
      <c r="N21" s="89"/>
      <c r="O21" s="121" t="s">
        <v>199</v>
      </c>
      <c r="P21" s="88"/>
      <c r="Q21" s="89"/>
      <c r="R21" s="122"/>
      <c r="S21" s="89"/>
      <c r="T21" s="122"/>
      <c r="U21" s="89"/>
      <c r="V21" s="122"/>
      <c r="W21" s="89"/>
      <c r="X21" s="122"/>
      <c r="Y21" s="89"/>
    </row>
    <row r="22" ht="30.0" customHeight="1">
      <c r="A22" s="123"/>
      <c r="B22" s="124"/>
      <c r="C22" s="124"/>
      <c r="D22" s="88"/>
      <c r="E22" s="88"/>
      <c r="F22" s="88"/>
      <c r="G22" s="124"/>
      <c r="H22" s="88"/>
      <c r="I22" s="88"/>
      <c r="J22" s="88"/>
      <c r="K22" s="124"/>
      <c r="L22" s="88"/>
      <c r="M22" s="88"/>
      <c r="N22" s="88"/>
      <c r="O22" s="124"/>
      <c r="P22" s="88"/>
      <c r="Q22" s="88"/>
      <c r="R22" s="124"/>
      <c r="S22" s="88"/>
      <c r="T22" s="124"/>
      <c r="U22" s="88"/>
      <c r="V22" s="124"/>
      <c r="W22" s="88"/>
      <c r="X22" s="124"/>
      <c r="Y22" s="88"/>
    </row>
    <row r="23" ht="30.0" customHeight="1">
      <c r="A23" s="61"/>
      <c r="B23" s="62"/>
      <c r="C23" s="62"/>
      <c r="G23" s="62"/>
      <c r="K23" s="62"/>
      <c r="O23" s="62"/>
      <c r="R23" s="62"/>
      <c r="T23" s="62"/>
      <c r="V23" s="62"/>
      <c r="X23" s="62"/>
    </row>
    <row r="24" ht="35.25" customHeight="1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</row>
    <row r="25" ht="35.25" customHeight="1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</row>
    <row r="26" ht="35.25" customHeight="1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</row>
    <row r="27" ht="43.5" customHeight="1">
      <c r="A27" s="126">
        <v>3.0</v>
      </c>
      <c r="B27" s="103" t="s">
        <v>134</v>
      </c>
      <c r="C27" s="104" t="str">
        <f>'Invetario de Tablas'!B6</f>
        <v>tipo_usuario</v>
      </c>
      <c r="D27" s="105"/>
      <c r="E27" s="105"/>
      <c r="F27" s="106"/>
      <c r="G27" s="103" t="s">
        <v>135</v>
      </c>
      <c r="H27" s="32"/>
      <c r="I27" s="32"/>
      <c r="J27" s="33"/>
      <c r="K27" s="107" t="str">
        <f>'Invetario de Tablas'!C6</f>
        <v>el tipo de puesto que tiene dentro de la institucion o en la red social</v>
      </c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6"/>
      <c r="X27" s="108" t="s">
        <v>186</v>
      </c>
      <c r="Y27" s="117" t="str">
        <f>Y3</f>
        <v>1.0</v>
      </c>
    </row>
    <row r="28" ht="31.5" customHeight="1">
      <c r="A28" s="110" t="s">
        <v>1</v>
      </c>
      <c r="B28" s="111" t="s">
        <v>187</v>
      </c>
      <c r="C28" s="112" t="s">
        <v>188</v>
      </c>
      <c r="F28" s="113"/>
      <c r="G28" s="114" t="s">
        <v>370</v>
      </c>
      <c r="H28" s="88"/>
      <c r="I28" s="88"/>
      <c r="J28" s="89"/>
      <c r="K28" s="112" t="s">
        <v>190</v>
      </c>
      <c r="N28" s="113"/>
      <c r="O28" s="112" t="s">
        <v>191</v>
      </c>
      <c r="Q28" s="113"/>
      <c r="R28" s="112" t="s">
        <v>192</v>
      </c>
      <c r="S28" s="113"/>
      <c r="T28" s="112" t="s">
        <v>193</v>
      </c>
      <c r="U28" s="113"/>
      <c r="V28" s="112" t="s">
        <v>194</v>
      </c>
      <c r="W28" s="113"/>
      <c r="X28" s="114" t="s">
        <v>195</v>
      </c>
      <c r="Y28" s="115"/>
    </row>
    <row r="29" ht="31.5" customHeight="1">
      <c r="A29" s="127">
        <v>1.0</v>
      </c>
      <c r="B29" s="42" t="s">
        <v>226</v>
      </c>
      <c r="C29" s="43" t="s">
        <v>227</v>
      </c>
      <c r="D29" s="5"/>
      <c r="E29" s="5"/>
      <c r="F29" s="6"/>
      <c r="G29" s="94" t="s">
        <v>373</v>
      </c>
      <c r="H29" s="5"/>
      <c r="I29" s="5"/>
      <c r="J29" s="6"/>
      <c r="K29" s="45">
        <v>5.0</v>
      </c>
      <c r="L29" s="5"/>
      <c r="M29" s="5"/>
      <c r="N29" s="6"/>
      <c r="O29" s="45" t="s">
        <v>199</v>
      </c>
      <c r="P29" s="5"/>
      <c r="Q29" s="6"/>
      <c r="R29" s="46" t="s">
        <v>200</v>
      </c>
      <c r="S29" s="6"/>
      <c r="T29" s="47"/>
      <c r="U29" s="6"/>
      <c r="V29" s="47"/>
      <c r="W29" s="6"/>
      <c r="X29" s="43" t="s">
        <v>228</v>
      </c>
      <c r="Y29" s="6"/>
    </row>
    <row r="30" ht="31.5" customHeight="1">
      <c r="A30" s="128">
        <v>2.0</v>
      </c>
      <c r="B30" s="119" t="s">
        <v>229</v>
      </c>
      <c r="C30" s="120" t="s">
        <v>230</v>
      </c>
      <c r="D30" s="88"/>
      <c r="E30" s="88"/>
      <c r="F30" s="89"/>
      <c r="G30" s="121" t="s">
        <v>203</v>
      </c>
      <c r="H30" s="88"/>
      <c r="I30" s="88"/>
      <c r="J30" s="89"/>
      <c r="K30" s="121">
        <v>20.0</v>
      </c>
      <c r="L30" s="88"/>
      <c r="M30" s="88"/>
      <c r="N30" s="89"/>
      <c r="O30" s="121" t="s">
        <v>199</v>
      </c>
      <c r="P30" s="88"/>
      <c r="Q30" s="89"/>
      <c r="R30" s="122"/>
      <c r="S30" s="89"/>
      <c r="T30" s="122"/>
      <c r="U30" s="89"/>
      <c r="V30" s="122"/>
      <c r="W30" s="89"/>
      <c r="X30" s="122"/>
      <c r="Y30" s="89"/>
    </row>
    <row r="31" ht="31.5" customHeight="1">
      <c r="A31" s="123"/>
      <c r="B31" s="124"/>
      <c r="C31" s="124"/>
      <c r="D31" s="88"/>
      <c r="E31" s="88"/>
      <c r="F31" s="88"/>
      <c r="G31" s="124"/>
      <c r="H31" s="88"/>
      <c r="I31" s="88"/>
      <c r="J31" s="88"/>
      <c r="K31" s="124"/>
      <c r="L31" s="88"/>
      <c r="M31" s="88"/>
      <c r="N31" s="88"/>
      <c r="O31" s="124"/>
      <c r="P31" s="88"/>
      <c r="Q31" s="88"/>
      <c r="R31" s="124"/>
      <c r="S31" s="88"/>
      <c r="T31" s="124"/>
      <c r="U31" s="88"/>
      <c r="V31" s="124"/>
      <c r="W31" s="88"/>
      <c r="X31" s="124"/>
      <c r="Y31" s="88"/>
    </row>
    <row r="32" ht="31.5" customHeight="1">
      <c r="A32" s="61"/>
      <c r="B32" s="62"/>
      <c r="C32" s="62"/>
      <c r="G32" s="62"/>
      <c r="K32" s="62"/>
      <c r="O32" s="62"/>
      <c r="R32" s="62"/>
      <c r="T32" s="62"/>
      <c r="V32" s="62"/>
      <c r="X32" s="62"/>
    </row>
    <row r="33" ht="31.5" customHeight="1">
      <c r="A33" s="61"/>
      <c r="B33" s="62"/>
      <c r="C33" s="62"/>
      <c r="G33" s="62"/>
      <c r="K33" s="62"/>
      <c r="O33" s="62"/>
      <c r="R33" s="62"/>
      <c r="T33" s="62"/>
      <c r="V33" s="62"/>
      <c r="X33" s="62"/>
    </row>
    <row r="34" ht="31.5" customHeight="1">
      <c r="A34" s="129"/>
      <c r="B34" s="62"/>
      <c r="C34" s="62"/>
      <c r="G34" s="62"/>
      <c r="K34" s="62"/>
      <c r="O34" s="62"/>
      <c r="R34" s="62"/>
      <c r="T34" s="62"/>
      <c r="V34" s="62"/>
      <c r="X34" s="62"/>
    </row>
    <row r="35" ht="31.5" customHeight="1">
      <c r="A35" s="61"/>
      <c r="B35" s="62"/>
      <c r="C35" s="62"/>
      <c r="G35" s="62"/>
      <c r="K35" s="62"/>
      <c r="O35" s="62"/>
      <c r="R35" s="62"/>
      <c r="T35" s="62"/>
      <c r="V35" s="62"/>
      <c r="X35" s="62"/>
    </row>
    <row r="36" ht="31.5" customHeight="1"/>
    <row r="37" ht="31.5" customHeight="1"/>
    <row r="38" ht="31.5" customHeight="1"/>
    <row r="39" ht="31.5" customHeight="1"/>
    <row r="40" ht="31.5" customHeight="1"/>
    <row r="41" ht="31.5" customHeight="1">
      <c r="A41" s="126">
        <v>4.0</v>
      </c>
      <c r="B41" s="103" t="s">
        <v>134</v>
      </c>
      <c r="C41" s="104" t="str">
        <f>'Invetario de Tablas'!B7</f>
        <v>perfil</v>
      </c>
      <c r="D41" s="105"/>
      <c r="E41" s="105"/>
      <c r="F41" s="106"/>
      <c r="G41" s="103" t="s">
        <v>135</v>
      </c>
      <c r="H41" s="32"/>
      <c r="I41" s="32"/>
      <c r="J41" s="33"/>
      <c r="K41" s="107" t="str">
        <f>'Invetario de Tablas'!C7</f>
        <v>descripción del usuario</v>
      </c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6"/>
      <c r="X41" s="108" t="s">
        <v>186</v>
      </c>
      <c r="Y41" s="117" t="str">
        <f>Y3</f>
        <v>1.0</v>
      </c>
    </row>
    <row r="42" ht="31.5" customHeight="1">
      <c r="A42" s="110" t="s">
        <v>1</v>
      </c>
      <c r="B42" s="111" t="s">
        <v>187</v>
      </c>
      <c r="C42" s="112" t="s">
        <v>188</v>
      </c>
      <c r="F42" s="113"/>
      <c r="G42" s="114" t="s">
        <v>370</v>
      </c>
      <c r="H42" s="88"/>
      <c r="I42" s="88"/>
      <c r="J42" s="89"/>
      <c r="K42" s="112" t="s">
        <v>190</v>
      </c>
      <c r="N42" s="113"/>
      <c r="O42" s="112" t="s">
        <v>191</v>
      </c>
      <c r="Q42" s="113"/>
      <c r="R42" s="112" t="s">
        <v>192</v>
      </c>
      <c r="S42" s="113"/>
      <c r="T42" s="112" t="s">
        <v>193</v>
      </c>
      <c r="U42" s="113"/>
      <c r="V42" s="112" t="s">
        <v>194</v>
      </c>
      <c r="W42" s="113"/>
      <c r="X42" s="114" t="s">
        <v>195</v>
      </c>
      <c r="Y42" s="115"/>
    </row>
    <row r="43" ht="31.5" customHeight="1">
      <c r="A43" s="41">
        <v>1.0</v>
      </c>
      <c r="B43" s="42" t="s">
        <v>196</v>
      </c>
      <c r="C43" s="43" t="s">
        <v>231</v>
      </c>
      <c r="D43" s="5"/>
      <c r="E43" s="5"/>
      <c r="F43" s="6"/>
      <c r="G43" s="116" t="s">
        <v>371</v>
      </c>
      <c r="H43" s="5"/>
      <c r="I43" s="5"/>
      <c r="J43" s="6"/>
      <c r="K43" s="45">
        <v>15.0</v>
      </c>
      <c r="L43" s="5"/>
      <c r="M43" s="5"/>
      <c r="N43" s="6"/>
      <c r="O43" s="45" t="s">
        <v>199</v>
      </c>
      <c r="P43" s="5"/>
      <c r="Q43" s="6"/>
      <c r="R43" s="68" t="s">
        <v>200</v>
      </c>
      <c r="S43" s="6"/>
      <c r="T43" s="68" t="s">
        <v>200</v>
      </c>
      <c r="U43" s="6"/>
      <c r="V43" s="47"/>
      <c r="W43" s="6"/>
      <c r="X43" s="69" t="s">
        <v>232</v>
      </c>
      <c r="Y43" s="6"/>
    </row>
    <row r="44" ht="31.5" customHeight="1">
      <c r="A44" s="41">
        <v>2.0</v>
      </c>
      <c r="B44" s="42" t="s">
        <v>233</v>
      </c>
      <c r="C44" s="43" t="s">
        <v>234</v>
      </c>
      <c r="D44" s="5"/>
      <c r="E44" s="5"/>
      <c r="F44" s="6"/>
      <c r="G44" s="45" t="s">
        <v>203</v>
      </c>
      <c r="H44" s="5"/>
      <c r="I44" s="5"/>
      <c r="J44" s="6"/>
      <c r="K44" s="45">
        <v>100.0</v>
      </c>
      <c r="L44" s="5"/>
      <c r="M44" s="5"/>
      <c r="N44" s="6"/>
      <c r="O44" s="45" t="s">
        <v>206</v>
      </c>
      <c r="P44" s="5"/>
      <c r="Q44" s="6"/>
      <c r="R44" s="47"/>
      <c r="S44" s="6"/>
      <c r="T44" s="47"/>
      <c r="U44" s="6"/>
      <c r="V44" s="47"/>
      <c r="W44" s="6"/>
      <c r="X44" s="47"/>
      <c r="Y44" s="6"/>
    </row>
    <row r="45" ht="31.5" customHeight="1">
      <c r="A45" s="118">
        <v>3.0</v>
      </c>
      <c r="B45" s="119" t="s">
        <v>235</v>
      </c>
      <c r="C45" s="120" t="s">
        <v>236</v>
      </c>
      <c r="D45" s="88"/>
      <c r="E45" s="88"/>
      <c r="F45" s="89"/>
      <c r="G45" s="121" t="s">
        <v>203</v>
      </c>
      <c r="H45" s="88"/>
      <c r="I45" s="88"/>
      <c r="J45" s="89"/>
      <c r="K45" s="121">
        <v>300.0</v>
      </c>
      <c r="L45" s="88"/>
      <c r="M45" s="88"/>
      <c r="N45" s="89"/>
      <c r="O45" s="121" t="s">
        <v>206</v>
      </c>
      <c r="P45" s="88"/>
      <c r="Q45" s="89"/>
      <c r="R45" s="122"/>
      <c r="S45" s="89"/>
      <c r="T45" s="122"/>
      <c r="U45" s="89"/>
      <c r="V45" s="122"/>
      <c r="W45" s="89"/>
      <c r="X45" s="122"/>
      <c r="Y45" s="89"/>
    </row>
    <row r="46" ht="31.5" customHeight="1">
      <c r="A46" s="123"/>
      <c r="B46" s="124"/>
      <c r="C46" s="124"/>
      <c r="D46" s="88"/>
      <c r="E46" s="88"/>
      <c r="F46" s="88"/>
      <c r="G46" s="124"/>
      <c r="H46" s="88"/>
      <c r="I46" s="88"/>
      <c r="J46" s="88"/>
      <c r="K46" s="124"/>
      <c r="L46" s="88"/>
      <c r="M46" s="88"/>
      <c r="N46" s="88"/>
      <c r="O46" s="124"/>
      <c r="P46" s="88"/>
      <c r="Q46" s="88"/>
      <c r="R46" s="124"/>
      <c r="S46" s="88"/>
      <c r="T46" s="124"/>
      <c r="U46" s="88"/>
      <c r="V46" s="124"/>
      <c r="W46" s="88"/>
      <c r="X46" s="124"/>
      <c r="Y46" s="88"/>
    </row>
    <row r="47" ht="31.5" customHeight="1">
      <c r="A47" s="61"/>
      <c r="B47" s="62"/>
      <c r="C47" s="62"/>
      <c r="G47" s="62"/>
      <c r="K47" s="62"/>
      <c r="O47" s="62"/>
      <c r="R47" s="62"/>
      <c r="T47" s="62"/>
      <c r="V47" s="62"/>
      <c r="X47" s="62"/>
    </row>
    <row r="48" ht="31.5" customHeight="1">
      <c r="A48" s="129"/>
      <c r="B48" s="62"/>
      <c r="C48" s="62"/>
      <c r="G48" s="62"/>
      <c r="K48" s="62"/>
      <c r="O48" s="62"/>
      <c r="R48" s="62"/>
      <c r="T48" s="62"/>
      <c r="V48" s="62"/>
      <c r="X48" s="62"/>
    </row>
    <row r="49" ht="31.5" customHeight="1">
      <c r="A49" s="61"/>
      <c r="B49" s="62"/>
      <c r="C49" s="62"/>
      <c r="G49" s="62"/>
      <c r="K49" s="62"/>
      <c r="O49" s="62"/>
      <c r="R49" s="62"/>
      <c r="T49" s="62"/>
      <c r="V49" s="62"/>
      <c r="X49" s="62"/>
    </row>
    <row r="50" ht="31.5" customHeight="1"/>
    <row r="51" ht="31.5" customHeight="1"/>
    <row r="52" ht="31.5" customHeight="1"/>
    <row r="53" ht="31.5" customHeight="1"/>
    <row r="54" ht="31.5" customHeight="1"/>
    <row r="55" ht="44.25" customHeight="1">
      <c r="A55" s="126">
        <v>5.0</v>
      </c>
      <c r="B55" s="103" t="s">
        <v>134</v>
      </c>
      <c r="C55" s="104" t="str">
        <f>'Invetario de Tablas'!B8</f>
        <v>publicacion</v>
      </c>
      <c r="D55" s="105"/>
      <c r="E55" s="105"/>
      <c r="F55" s="106"/>
      <c r="G55" s="103" t="s">
        <v>135</v>
      </c>
      <c r="H55" s="32"/>
      <c r="I55" s="32"/>
      <c r="J55" s="33"/>
      <c r="K55" s="107" t="str">
        <f>'Invetario de Tablas'!C8</f>
        <v>difusión informativa sobre temas de interés universitarios</v>
      </c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6"/>
      <c r="X55" s="108" t="s">
        <v>186</v>
      </c>
      <c r="Y55" s="117" t="str">
        <f>Y3</f>
        <v>1.0</v>
      </c>
    </row>
    <row r="56" ht="31.5" customHeight="1">
      <c r="A56" s="110" t="s">
        <v>1</v>
      </c>
      <c r="B56" s="111" t="s">
        <v>187</v>
      </c>
      <c r="C56" s="112" t="s">
        <v>188</v>
      </c>
      <c r="F56" s="113"/>
      <c r="G56" s="114" t="s">
        <v>370</v>
      </c>
      <c r="H56" s="88"/>
      <c r="I56" s="88"/>
      <c r="J56" s="89"/>
      <c r="K56" s="112" t="s">
        <v>190</v>
      </c>
      <c r="N56" s="113"/>
      <c r="O56" s="112" t="s">
        <v>191</v>
      </c>
      <c r="Q56" s="113"/>
      <c r="R56" s="112" t="s">
        <v>192</v>
      </c>
      <c r="S56" s="113"/>
      <c r="T56" s="112" t="s">
        <v>193</v>
      </c>
      <c r="U56" s="113"/>
      <c r="V56" s="112" t="s">
        <v>194</v>
      </c>
      <c r="W56" s="113"/>
      <c r="X56" s="114" t="s">
        <v>195</v>
      </c>
      <c r="Y56" s="115"/>
    </row>
    <row r="57" ht="31.5" customHeight="1">
      <c r="A57" s="127">
        <v>1.0</v>
      </c>
      <c r="B57" s="42" t="s">
        <v>237</v>
      </c>
      <c r="C57" s="43" t="s">
        <v>238</v>
      </c>
      <c r="D57" s="5"/>
      <c r="E57" s="5"/>
      <c r="F57" s="6"/>
      <c r="G57" s="94" t="s">
        <v>373</v>
      </c>
      <c r="H57" s="5"/>
      <c r="I57" s="5"/>
      <c r="J57" s="6"/>
      <c r="K57" s="45">
        <v>200.0</v>
      </c>
      <c r="L57" s="5"/>
      <c r="M57" s="5"/>
      <c r="N57" s="6"/>
      <c r="O57" s="45" t="s">
        <v>199</v>
      </c>
      <c r="P57" s="5"/>
      <c r="Q57" s="6"/>
      <c r="R57" s="46" t="s">
        <v>200</v>
      </c>
      <c r="S57" s="6"/>
      <c r="T57" s="47"/>
      <c r="U57" s="6"/>
      <c r="V57" s="47"/>
      <c r="W57" s="6"/>
      <c r="X57" s="47"/>
      <c r="Y57" s="6"/>
    </row>
    <row r="58" ht="31.5" customHeight="1">
      <c r="A58" s="127">
        <v>2.0</v>
      </c>
      <c r="B58" s="42" t="s">
        <v>239</v>
      </c>
      <c r="C58" s="43" t="s">
        <v>240</v>
      </c>
      <c r="D58" s="5"/>
      <c r="E58" s="5"/>
      <c r="F58" s="6"/>
      <c r="G58" s="45" t="s">
        <v>203</v>
      </c>
      <c r="H58" s="5"/>
      <c r="I58" s="5"/>
      <c r="J58" s="6"/>
      <c r="K58" s="45">
        <v>50.0</v>
      </c>
      <c r="L58" s="5"/>
      <c r="M58" s="5"/>
      <c r="N58" s="6"/>
      <c r="O58" s="45" t="s">
        <v>206</v>
      </c>
      <c r="P58" s="5"/>
      <c r="Q58" s="6"/>
      <c r="R58" s="47"/>
      <c r="S58" s="6"/>
      <c r="T58" s="47"/>
      <c r="U58" s="6"/>
      <c r="V58" s="47"/>
      <c r="W58" s="6"/>
      <c r="X58" s="47"/>
      <c r="Y58" s="6"/>
    </row>
    <row r="59" ht="31.5" customHeight="1">
      <c r="A59" s="127">
        <v>3.0</v>
      </c>
      <c r="B59" s="42" t="s">
        <v>241</v>
      </c>
      <c r="C59" s="43" t="s">
        <v>242</v>
      </c>
      <c r="D59" s="5"/>
      <c r="E59" s="5"/>
      <c r="F59" s="6"/>
      <c r="G59" s="45" t="s">
        <v>203</v>
      </c>
      <c r="H59" s="5"/>
      <c r="I59" s="5"/>
      <c r="J59" s="6"/>
      <c r="K59" s="45">
        <v>300.0</v>
      </c>
      <c r="L59" s="5"/>
      <c r="M59" s="5"/>
      <c r="N59" s="6"/>
      <c r="O59" s="45" t="s">
        <v>199</v>
      </c>
      <c r="P59" s="5"/>
      <c r="Q59" s="6"/>
      <c r="R59" s="47"/>
      <c r="S59" s="6"/>
      <c r="T59" s="47"/>
      <c r="U59" s="6"/>
      <c r="V59" s="47"/>
      <c r="W59" s="6"/>
      <c r="X59" s="47"/>
      <c r="Y59" s="6"/>
    </row>
    <row r="60" ht="31.5" customHeight="1">
      <c r="A60" s="127">
        <v>4.0</v>
      </c>
      <c r="B60" s="42" t="s">
        <v>196</v>
      </c>
      <c r="C60" s="43" t="s">
        <v>197</v>
      </c>
      <c r="D60" s="5"/>
      <c r="E60" s="5"/>
      <c r="F60" s="6"/>
      <c r="G60" s="116" t="s">
        <v>372</v>
      </c>
      <c r="H60" s="5"/>
      <c r="I60" s="5"/>
      <c r="J60" s="6"/>
      <c r="K60" s="45">
        <v>15.0</v>
      </c>
      <c r="L60" s="5"/>
      <c r="M60" s="5"/>
      <c r="N60" s="6"/>
      <c r="O60" s="45" t="s">
        <v>199</v>
      </c>
      <c r="P60" s="5"/>
      <c r="Q60" s="6"/>
      <c r="R60" s="47"/>
      <c r="S60" s="6"/>
      <c r="T60" s="46" t="s">
        <v>200</v>
      </c>
      <c r="U60" s="6"/>
      <c r="V60" s="47"/>
      <c r="W60" s="6"/>
      <c r="X60" s="47"/>
      <c r="Y60" s="6"/>
    </row>
    <row r="61" ht="31.5" customHeight="1">
      <c r="A61" s="128">
        <v>5.0</v>
      </c>
      <c r="B61" s="119" t="s">
        <v>243</v>
      </c>
      <c r="C61" s="120" t="s">
        <v>244</v>
      </c>
      <c r="D61" s="88"/>
      <c r="E61" s="88"/>
      <c r="F61" s="89"/>
      <c r="G61" s="121" t="s">
        <v>245</v>
      </c>
      <c r="H61" s="88"/>
      <c r="I61" s="88"/>
      <c r="J61" s="89"/>
      <c r="K61" s="121">
        <v>10.0</v>
      </c>
      <c r="L61" s="88"/>
      <c r="M61" s="88"/>
      <c r="N61" s="89"/>
      <c r="O61" s="121" t="s">
        <v>199</v>
      </c>
      <c r="P61" s="88"/>
      <c r="Q61" s="89"/>
      <c r="R61" s="122"/>
      <c r="S61" s="89"/>
      <c r="T61" s="122"/>
      <c r="U61" s="89"/>
      <c r="V61" s="122"/>
      <c r="W61" s="89"/>
      <c r="X61" s="122"/>
      <c r="Y61" s="89"/>
    </row>
    <row r="62" ht="31.5" customHeight="1">
      <c r="A62" s="130"/>
      <c r="B62" s="124"/>
      <c r="C62" s="124"/>
      <c r="D62" s="88"/>
      <c r="E62" s="88"/>
      <c r="F62" s="88"/>
      <c r="G62" s="124"/>
      <c r="H62" s="88"/>
      <c r="I62" s="88"/>
      <c r="J62" s="88"/>
      <c r="K62" s="124"/>
      <c r="L62" s="88"/>
      <c r="M62" s="88"/>
      <c r="N62" s="88"/>
      <c r="O62" s="124"/>
      <c r="P62" s="88"/>
      <c r="Q62" s="88"/>
      <c r="R62" s="124"/>
      <c r="S62" s="88"/>
      <c r="T62" s="124"/>
      <c r="U62" s="88"/>
      <c r="V62" s="124"/>
      <c r="W62" s="88"/>
      <c r="X62" s="124"/>
      <c r="Y62" s="88"/>
    </row>
    <row r="63" ht="31.5" customHeight="1">
      <c r="A63" s="61"/>
      <c r="B63" s="62"/>
      <c r="C63" s="62"/>
      <c r="G63" s="62"/>
      <c r="K63" s="62"/>
      <c r="O63" s="62"/>
      <c r="R63" s="62"/>
      <c r="T63" s="62"/>
      <c r="V63" s="62"/>
      <c r="X63" s="62"/>
    </row>
    <row r="64" ht="31.5" customHeight="1"/>
    <row r="65" ht="31.5" customHeight="1"/>
    <row r="66" ht="31.5" customHeight="1"/>
    <row r="67" ht="31.5" customHeight="1"/>
    <row r="68" ht="31.5" customHeight="1"/>
    <row r="69" ht="50.25" customHeight="1">
      <c r="A69" s="126">
        <v>6.0</v>
      </c>
      <c r="B69" s="103" t="s">
        <v>134</v>
      </c>
      <c r="C69" s="104" t="str">
        <f>'Invetario de Tablas'!B9</f>
        <v>comentario</v>
      </c>
      <c r="D69" s="105"/>
      <c r="E69" s="105"/>
      <c r="F69" s="106"/>
      <c r="G69" s="103" t="s">
        <v>135</v>
      </c>
      <c r="H69" s="32"/>
      <c r="I69" s="32"/>
      <c r="J69" s="33"/>
      <c r="K69" s="107" t="str">
        <f>'Invetario de Tablas'!C9</f>
        <v>opinión de los integrantes de la red pascualina</v>
      </c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6"/>
      <c r="X69" s="108" t="s">
        <v>186</v>
      </c>
      <c r="Y69" s="117" t="str">
        <f>Y3</f>
        <v>1.0</v>
      </c>
    </row>
    <row r="70" ht="31.5" customHeight="1">
      <c r="A70" s="110" t="s">
        <v>1</v>
      </c>
      <c r="B70" s="111" t="s">
        <v>187</v>
      </c>
      <c r="C70" s="112" t="s">
        <v>188</v>
      </c>
      <c r="F70" s="113"/>
      <c r="G70" s="114" t="s">
        <v>370</v>
      </c>
      <c r="H70" s="88"/>
      <c r="I70" s="88"/>
      <c r="J70" s="89"/>
      <c r="K70" s="112" t="s">
        <v>190</v>
      </c>
      <c r="N70" s="113"/>
      <c r="O70" s="112" t="s">
        <v>191</v>
      </c>
      <c r="Q70" s="113"/>
      <c r="R70" s="112" t="s">
        <v>192</v>
      </c>
      <c r="S70" s="113"/>
      <c r="T70" s="112" t="s">
        <v>193</v>
      </c>
      <c r="U70" s="113"/>
      <c r="V70" s="112" t="s">
        <v>194</v>
      </c>
      <c r="W70" s="113"/>
      <c r="X70" s="114" t="s">
        <v>195</v>
      </c>
      <c r="Y70" s="115"/>
    </row>
    <row r="71" ht="31.5" customHeight="1">
      <c r="A71" s="41">
        <v>1.0</v>
      </c>
      <c r="B71" s="42" t="s">
        <v>246</v>
      </c>
      <c r="C71" s="43" t="s">
        <v>247</v>
      </c>
      <c r="D71" s="5"/>
      <c r="E71" s="5"/>
      <c r="F71" s="6"/>
      <c r="G71" s="94" t="s">
        <v>373</v>
      </c>
      <c r="H71" s="5"/>
      <c r="I71" s="5"/>
      <c r="J71" s="6"/>
      <c r="K71" s="45">
        <v>20.0</v>
      </c>
      <c r="L71" s="5"/>
      <c r="M71" s="5"/>
      <c r="N71" s="6"/>
      <c r="O71" s="45" t="s">
        <v>199</v>
      </c>
      <c r="P71" s="5"/>
      <c r="Q71" s="6"/>
      <c r="R71" s="46" t="s">
        <v>200</v>
      </c>
      <c r="S71" s="6"/>
      <c r="T71" s="47"/>
      <c r="U71" s="6"/>
      <c r="V71" s="47"/>
      <c r="W71" s="6"/>
      <c r="X71" s="47"/>
      <c r="Y71" s="6"/>
    </row>
    <row r="72" ht="31.5" customHeight="1">
      <c r="A72" s="41">
        <v>2.0</v>
      </c>
      <c r="B72" s="42" t="s">
        <v>248</v>
      </c>
      <c r="C72" s="43" t="s">
        <v>249</v>
      </c>
      <c r="D72" s="5"/>
      <c r="E72" s="5"/>
      <c r="F72" s="6"/>
      <c r="G72" s="45" t="s">
        <v>203</v>
      </c>
      <c r="H72" s="5"/>
      <c r="I72" s="5"/>
      <c r="J72" s="6"/>
      <c r="K72" s="45">
        <v>250.0</v>
      </c>
      <c r="L72" s="5"/>
      <c r="M72" s="5"/>
      <c r="N72" s="6"/>
      <c r="O72" s="45" t="s">
        <v>199</v>
      </c>
      <c r="P72" s="5"/>
      <c r="Q72" s="6"/>
      <c r="R72" s="47"/>
      <c r="S72" s="6"/>
      <c r="T72" s="47"/>
      <c r="U72" s="6"/>
      <c r="V72" s="47"/>
      <c r="W72" s="6"/>
      <c r="X72" s="47"/>
      <c r="Y72" s="6"/>
    </row>
    <row r="73" ht="31.5" customHeight="1">
      <c r="A73" s="41">
        <v>3.0</v>
      </c>
      <c r="B73" s="42" t="s">
        <v>250</v>
      </c>
      <c r="C73" s="43" t="s">
        <v>244</v>
      </c>
      <c r="D73" s="5"/>
      <c r="E73" s="5"/>
      <c r="F73" s="6"/>
      <c r="G73" s="45" t="s">
        <v>245</v>
      </c>
      <c r="H73" s="5"/>
      <c r="I73" s="5"/>
      <c r="J73" s="6"/>
      <c r="K73" s="45">
        <v>10.0</v>
      </c>
      <c r="L73" s="5"/>
      <c r="M73" s="5"/>
      <c r="N73" s="6"/>
      <c r="O73" s="45" t="s">
        <v>199</v>
      </c>
      <c r="P73" s="5"/>
      <c r="Q73" s="6"/>
      <c r="R73" s="47"/>
      <c r="S73" s="6"/>
      <c r="T73" s="47"/>
      <c r="U73" s="6"/>
      <c r="V73" s="47"/>
      <c r="W73" s="6"/>
      <c r="X73" s="47"/>
      <c r="Y73" s="6"/>
    </row>
    <row r="74" ht="31.5" customHeight="1">
      <c r="A74" s="41">
        <v>4.0</v>
      </c>
      <c r="B74" s="42" t="s">
        <v>251</v>
      </c>
      <c r="C74" s="43" t="s">
        <v>252</v>
      </c>
      <c r="D74" s="5"/>
      <c r="E74" s="5"/>
      <c r="F74" s="6"/>
      <c r="G74" s="45" t="s">
        <v>203</v>
      </c>
      <c r="H74" s="5"/>
      <c r="I74" s="5"/>
      <c r="J74" s="6"/>
      <c r="K74" s="45">
        <v>250.0</v>
      </c>
      <c r="L74" s="5"/>
      <c r="M74" s="5"/>
      <c r="N74" s="6"/>
      <c r="O74" s="45" t="s">
        <v>206</v>
      </c>
      <c r="P74" s="5"/>
      <c r="Q74" s="6"/>
      <c r="R74" s="47"/>
      <c r="S74" s="6"/>
      <c r="T74" s="47"/>
      <c r="U74" s="6"/>
      <c r="V74" s="47"/>
      <c r="W74" s="6"/>
      <c r="X74" s="47"/>
      <c r="Y74" s="6"/>
    </row>
    <row r="75" ht="31.5" customHeight="1">
      <c r="A75" s="41">
        <v>5.0</v>
      </c>
      <c r="B75" s="42" t="s">
        <v>253</v>
      </c>
      <c r="C75" s="43" t="s">
        <v>254</v>
      </c>
      <c r="D75" s="5"/>
      <c r="E75" s="5"/>
      <c r="F75" s="6"/>
      <c r="G75" s="45" t="s">
        <v>203</v>
      </c>
      <c r="H75" s="5"/>
      <c r="I75" s="5"/>
      <c r="J75" s="6"/>
      <c r="K75" s="45">
        <v>250.0</v>
      </c>
      <c r="L75" s="5"/>
      <c r="M75" s="5"/>
      <c r="N75" s="6"/>
      <c r="O75" s="45" t="s">
        <v>206</v>
      </c>
      <c r="P75" s="5"/>
      <c r="Q75" s="6"/>
      <c r="R75" s="47"/>
      <c r="S75" s="6"/>
      <c r="T75" s="47"/>
      <c r="U75" s="6"/>
      <c r="V75" s="47"/>
      <c r="W75" s="6"/>
      <c r="X75" s="47"/>
      <c r="Y75" s="6"/>
    </row>
    <row r="76" ht="31.5" customHeight="1">
      <c r="A76" s="48">
        <v>6.0</v>
      </c>
      <c r="B76" s="42" t="s">
        <v>237</v>
      </c>
      <c r="C76" s="43" t="s">
        <v>238</v>
      </c>
      <c r="D76" s="5"/>
      <c r="E76" s="5"/>
      <c r="F76" s="6"/>
      <c r="G76" s="94" t="s">
        <v>372</v>
      </c>
      <c r="H76" s="5"/>
      <c r="I76" s="5"/>
      <c r="J76" s="6"/>
      <c r="K76" s="45">
        <v>200.0</v>
      </c>
      <c r="L76" s="5"/>
      <c r="M76" s="5"/>
      <c r="N76" s="6"/>
      <c r="O76" s="45" t="s">
        <v>199</v>
      </c>
      <c r="P76" s="5"/>
      <c r="Q76" s="6"/>
      <c r="R76" s="47"/>
      <c r="S76" s="6"/>
      <c r="T76" s="46" t="s">
        <v>200</v>
      </c>
      <c r="U76" s="6"/>
      <c r="V76" s="47"/>
      <c r="W76" s="6"/>
      <c r="X76" s="47"/>
      <c r="Y76" s="6"/>
    </row>
    <row r="77" ht="31.5" customHeight="1">
      <c r="A77" s="48">
        <v>7.0</v>
      </c>
      <c r="B77" s="42" t="s">
        <v>255</v>
      </c>
      <c r="C77" s="43" t="s">
        <v>256</v>
      </c>
      <c r="D77" s="5"/>
      <c r="E77" s="5"/>
      <c r="F77" s="6"/>
      <c r="G77" s="94" t="s">
        <v>372</v>
      </c>
      <c r="H77" s="5"/>
      <c r="I77" s="5"/>
      <c r="J77" s="6"/>
      <c r="K77" s="45">
        <v>200.0</v>
      </c>
      <c r="L77" s="5"/>
      <c r="M77" s="5"/>
      <c r="N77" s="6"/>
      <c r="O77" s="45" t="s">
        <v>199</v>
      </c>
      <c r="P77" s="5"/>
      <c r="Q77" s="6"/>
      <c r="R77" s="47"/>
      <c r="S77" s="6"/>
      <c r="T77" s="46" t="s">
        <v>200</v>
      </c>
      <c r="U77" s="6"/>
      <c r="V77" s="47"/>
      <c r="W77" s="6"/>
      <c r="X77" s="47"/>
      <c r="Y77" s="6"/>
    </row>
    <row r="78" ht="31.5" customHeight="1">
      <c r="A78" s="49">
        <v>8.0</v>
      </c>
      <c r="B78" s="50" t="s">
        <v>196</v>
      </c>
      <c r="C78" s="51" t="s">
        <v>197</v>
      </c>
      <c r="D78" s="5"/>
      <c r="E78" s="5"/>
      <c r="F78" s="6"/>
      <c r="G78" s="116" t="s">
        <v>372</v>
      </c>
      <c r="H78" s="5"/>
      <c r="I78" s="5"/>
      <c r="J78" s="6"/>
      <c r="K78" s="52">
        <v>15.0</v>
      </c>
      <c r="L78" s="5"/>
      <c r="M78" s="5"/>
      <c r="N78" s="6"/>
      <c r="O78" s="52" t="s">
        <v>199</v>
      </c>
      <c r="P78" s="5"/>
      <c r="Q78" s="6"/>
      <c r="R78" s="53"/>
      <c r="S78" s="6"/>
      <c r="T78" s="54" t="s">
        <v>200</v>
      </c>
      <c r="U78" s="6"/>
      <c r="V78" s="53"/>
      <c r="W78" s="6"/>
      <c r="X78" s="53"/>
      <c r="Y78" s="6"/>
    </row>
    <row r="79" ht="31.5" customHeight="1"/>
    <row r="80" ht="31.5" customHeight="1"/>
    <row r="81" ht="31.5" customHeight="1"/>
    <row r="82" ht="31.5" customHeight="1"/>
    <row r="83" ht="31.5" customHeight="1">
      <c r="A83" s="126">
        <v>7.0</v>
      </c>
      <c r="B83" s="103" t="s">
        <v>134</v>
      </c>
      <c r="C83" s="104" t="str">
        <f>'Invetario de Tablas'!B10</f>
        <v>grupo</v>
      </c>
      <c r="D83" s="105"/>
      <c r="E83" s="105"/>
      <c r="F83" s="106"/>
      <c r="G83" s="103" t="s">
        <v>135</v>
      </c>
      <c r="H83" s="32"/>
      <c r="I83" s="32"/>
      <c r="J83" s="33"/>
      <c r="K83" s="107" t="str">
        <f>'Invetario de Tablas'!C10</f>
        <v>interaccion de un grupo</v>
      </c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6"/>
      <c r="X83" s="108" t="s">
        <v>186</v>
      </c>
      <c r="Y83" s="117" t="str">
        <f>Y3</f>
        <v>1.0</v>
      </c>
    </row>
    <row r="84" ht="31.5" customHeight="1">
      <c r="A84" s="110" t="s">
        <v>1</v>
      </c>
      <c r="B84" s="111" t="s">
        <v>187</v>
      </c>
      <c r="C84" s="112" t="s">
        <v>188</v>
      </c>
      <c r="F84" s="113"/>
      <c r="G84" s="114" t="s">
        <v>370</v>
      </c>
      <c r="H84" s="88"/>
      <c r="I84" s="88"/>
      <c r="J84" s="89"/>
      <c r="K84" s="112" t="s">
        <v>190</v>
      </c>
      <c r="N84" s="113"/>
      <c r="O84" s="112" t="s">
        <v>191</v>
      </c>
      <c r="Q84" s="113"/>
      <c r="R84" s="112" t="s">
        <v>192</v>
      </c>
      <c r="S84" s="113"/>
      <c r="T84" s="112" t="s">
        <v>193</v>
      </c>
      <c r="U84" s="113"/>
      <c r="V84" s="112" t="s">
        <v>194</v>
      </c>
      <c r="W84" s="113"/>
      <c r="X84" s="114" t="s">
        <v>195</v>
      </c>
      <c r="Y84" s="115"/>
    </row>
    <row r="85" ht="31.5" customHeight="1">
      <c r="A85" s="127">
        <v>1.0</v>
      </c>
      <c r="B85" s="131" t="s">
        <v>257</v>
      </c>
      <c r="C85" s="43" t="s">
        <v>258</v>
      </c>
      <c r="D85" s="5"/>
      <c r="E85" s="5"/>
      <c r="F85" s="6"/>
      <c r="G85" s="94" t="s">
        <v>373</v>
      </c>
      <c r="H85" s="5"/>
      <c r="I85" s="5"/>
      <c r="J85" s="6"/>
      <c r="K85" s="45">
        <v>5.0</v>
      </c>
      <c r="L85" s="5"/>
      <c r="M85" s="5"/>
      <c r="N85" s="6"/>
      <c r="O85" s="45" t="s">
        <v>199</v>
      </c>
      <c r="P85" s="5"/>
      <c r="Q85" s="6"/>
      <c r="R85" s="46" t="s">
        <v>200</v>
      </c>
      <c r="S85" s="6"/>
      <c r="T85" s="47"/>
      <c r="U85" s="6"/>
      <c r="V85" s="47"/>
      <c r="W85" s="6"/>
      <c r="X85" s="47"/>
      <c r="Y85" s="6"/>
    </row>
    <row r="86" ht="31.5" customHeight="1">
      <c r="A86" s="127">
        <v>2.0</v>
      </c>
      <c r="B86" s="131" t="s">
        <v>259</v>
      </c>
      <c r="C86" s="43" t="s">
        <v>260</v>
      </c>
      <c r="D86" s="5"/>
      <c r="E86" s="5"/>
      <c r="F86" s="6"/>
      <c r="G86" s="45" t="s">
        <v>203</v>
      </c>
      <c r="H86" s="5"/>
      <c r="I86" s="5"/>
      <c r="J86" s="6"/>
      <c r="K86" s="45">
        <v>30.0</v>
      </c>
      <c r="L86" s="5"/>
      <c r="M86" s="5"/>
      <c r="N86" s="6"/>
      <c r="O86" s="45" t="s">
        <v>199</v>
      </c>
      <c r="P86" s="5"/>
      <c r="Q86" s="6"/>
      <c r="R86" s="47"/>
      <c r="S86" s="6"/>
      <c r="T86" s="47"/>
      <c r="U86" s="6"/>
      <c r="V86" s="47"/>
      <c r="W86" s="6"/>
      <c r="X86" s="47"/>
      <c r="Y86" s="6"/>
    </row>
    <row r="87" ht="31.5" customHeight="1">
      <c r="A87" s="127">
        <v>3.0</v>
      </c>
      <c r="B87" s="131" t="s">
        <v>261</v>
      </c>
      <c r="C87" s="43" t="s">
        <v>262</v>
      </c>
      <c r="D87" s="5"/>
      <c r="E87" s="5"/>
      <c r="F87" s="6"/>
      <c r="G87" s="45" t="s">
        <v>203</v>
      </c>
      <c r="H87" s="5"/>
      <c r="I87" s="5"/>
      <c r="J87" s="6"/>
      <c r="K87" s="45">
        <v>250.0</v>
      </c>
      <c r="L87" s="5"/>
      <c r="M87" s="5"/>
      <c r="N87" s="6"/>
      <c r="O87" s="45" t="s">
        <v>206</v>
      </c>
      <c r="P87" s="5"/>
      <c r="Q87" s="6"/>
      <c r="R87" s="47"/>
      <c r="S87" s="6"/>
      <c r="T87" s="47"/>
      <c r="U87" s="6"/>
      <c r="V87" s="47"/>
      <c r="W87" s="6"/>
      <c r="X87" s="47"/>
      <c r="Y87" s="6"/>
    </row>
    <row r="88" ht="31.5" customHeight="1">
      <c r="A88" s="128">
        <v>4.0</v>
      </c>
      <c r="B88" s="132" t="s">
        <v>263</v>
      </c>
      <c r="C88" s="120" t="s">
        <v>264</v>
      </c>
      <c r="D88" s="88"/>
      <c r="E88" s="88"/>
      <c r="F88" s="89"/>
      <c r="G88" s="121" t="s">
        <v>203</v>
      </c>
      <c r="H88" s="88"/>
      <c r="I88" s="88"/>
      <c r="J88" s="89"/>
      <c r="K88" s="121">
        <v>20.0</v>
      </c>
      <c r="L88" s="88"/>
      <c r="M88" s="88"/>
      <c r="N88" s="89"/>
      <c r="O88" s="121" t="s">
        <v>206</v>
      </c>
      <c r="P88" s="88"/>
      <c r="Q88" s="89"/>
      <c r="R88" s="122"/>
      <c r="S88" s="89"/>
      <c r="T88" s="122"/>
      <c r="U88" s="89"/>
      <c r="V88" s="122"/>
      <c r="W88" s="89"/>
      <c r="X88" s="122"/>
      <c r="Y88" s="89"/>
    </row>
    <row r="89" ht="31.5" customHeight="1">
      <c r="A89" s="123"/>
      <c r="B89" s="124"/>
      <c r="C89" s="124"/>
      <c r="D89" s="88"/>
      <c r="E89" s="88"/>
      <c r="F89" s="88"/>
      <c r="G89" s="124"/>
      <c r="H89" s="88"/>
      <c r="I89" s="88"/>
      <c r="J89" s="88"/>
      <c r="K89" s="124"/>
      <c r="L89" s="88"/>
      <c r="M89" s="88"/>
      <c r="N89" s="88"/>
      <c r="O89" s="124"/>
      <c r="P89" s="88"/>
      <c r="Q89" s="88"/>
      <c r="R89" s="124"/>
      <c r="S89" s="88"/>
      <c r="T89" s="124"/>
      <c r="U89" s="88"/>
      <c r="V89" s="124"/>
      <c r="W89" s="88"/>
      <c r="X89" s="124"/>
      <c r="Y89" s="88"/>
    </row>
    <row r="90" ht="31.5" customHeight="1">
      <c r="A90" s="129"/>
      <c r="B90" s="62"/>
      <c r="C90" s="62"/>
      <c r="G90" s="62"/>
      <c r="K90" s="62"/>
      <c r="O90" s="62"/>
      <c r="R90" s="62"/>
      <c r="T90" s="62"/>
      <c r="V90" s="62"/>
      <c r="X90" s="62"/>
    </row>
    <row r="91" ht="31.5" customHeight="1">
      <c r="A91" s="61"/>
      <c r="B91" s="62"/>
      <c r="C91" s="62"/>
      <c r="G91" s="62"/>
      <c r="K91" s="62"/>
      <c r="O91" s="62"/>
      <c r="R91" s="62"/>
      <c r="T91" s="62"/>
      <c r="V91" s="62"/>
      <c r="X91" s="62"/>
    </row>
    <row r="92" ht="31.5" customHeight="1"/>
    <row r="93" ht="31.5" customHeight="1"/>
    <row r="94" ht="31.5" customHeight="1"/>
    <row r="95" ht="31.5" customHeight="1"/>
    <row r="96" ht="31.5" customHeight="1"/>
    <row r="97" ht="59.25" customHeight="1">
      <c r="A97" s="126">
        <v>8.0</v>
      </c>
      <c r="B97" s="103" t="s">
        <v>134</v>
      </c>
      <c r="C97" s="104" t="str">
        <f>'Invetario de Tablas'!B11</f>
        <v>tipo_servicio</v>
      </c>
      <c r="D97" s="105"/>
      <c r="E97" s="105"/>
      <c r="F97" s="106"/>
      <c r="G97" s="103" t="s">
        <v>135</v>
      </c>
      <c r="H97" s="32"/>
      <c r="I97" s="32"/>
      <c r="J97" s="33"/>
      <c r="K97" s="107" t="str">
        <f>'Invetario de Tablas'!C11</f>
        <v>tipos de asistencias que se brindan a los usuarios</v>
      </c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6"/>
      <c r="X97" s="108" t="s">
        <v>186</v>
      </c>
      <c r="Y97" s="117" t="str">
        <f>Y3</f>
        <v>1.0</v>
      </c>
    </row>
    <row r="98" ht="31.5" customHeight="1">
      <c r="A98" s="110" t="s">
        <v>1</v>
      </c>
      <c r="B98" s="111" t="s">
        <v>187</v>
      </c>
      <c r="C98" s="112" t="s">
        <v>188</v>
      </c>
      <c r="F98" s="113"/>
      <c r="G98" s="114" t="s">
        <v>370</v>
      </c>
      <c r="H98" s="88"/>
      <c r="I98" s="88"/>
      <c r="J98" s="89"/>
      <c r="K98" s="112" t="s">
        <v>190</v>
      </c>
      <c r="N98" s="113"/>
      <c r="O98" s="112" t="s">
        <v>191</v>
      </c>
      <c r="Q98" s="113"/>
      <c r="R98" s="112" t="s">
        <v>192</v>
      </c>
      <c r="S98" s="113"/>
      <c r="T98" s="112" t="s">
        <v>193</v>
      </c>
      <c r="U98" s="113"/>
      <c r="V98" s="112" t="s">
        <v>194</v>
      </c>
      <c r="W98" s="113"/>
      <c r="X98" s="114" t="s">
        <v>195</v>
      </c>
      <c r="Y98" s="115"/>
    </row>
    <row r="99" ht="31.5" customHeight="1">
      <c r="A99" s="127">
        <v>1.0</v>
      </c>
      <c r="B99" s="42" t="s">
        <v>265</v>
      </c>
      <c r="C99" s="43" t="s">
        <v>266</v>
      </c>
      <c r="D99" s="5"/>
      <c r="E99" s="5"/>
      <c r="F99" s="6"/>
      <c r="G99" s="94" t="s">
        <v>373</v>
      </c>
      <c r="H99" s="5"/>
      <c r="I99" s="5"/>
      <c r="J99" s="6"/>
      <c r="K99" s="45">
        <v>5.0</v>
      </c>
      <c r="L99" s="5"/>
      <c r="M99" s="5"/>
      <c r="N99" s="6"/>
      <c r="O99" s="45" t="s">
        <v>199</v>
      </c>
      <c r="P99" s="5"/>
      <c r="Q99" s="6"/>
      <c r="R99" s="46" t="s">
        <v>200</v>
      </c>
      <c r="S99" s="6"/>
      <c r="T99" s="47"/>
      <c r="U99" s="6"/>
      <c r="V99" s="47"/>
      <c r="W99" s="6"/>
      <c r="X99" s="43" t="s">
        <v>228</v>
      </c>
      <c r="Y99" s="6"/>
    </row>
    <row r="100" ht="31.5" customHeight="1">
      <c r="A100" s="128">
        <v>2.0</v>
      </c>
      <c r="B100" s="119" t="s">
        <v>267</v>
      </c>
      <c r="C100" s="120" t="s">
        <v>268</v>
      </c>
      <c r="D100" s="88"/>
      <c r="E100" s="88"/>
      <c r="F100" s="89"/>
      <c r="G100" s="121" t="s">
        <v>203</v>
      </c>
      <c r="H100" s="88"/>
      <c r="I100" s="88"/>
      <c r="J100" s="89"/>
      <c r="K100" s="121">
        <v>50.0</v>
      </c>
      <c r="L100" s="88"/>
      <c r="M100" s="88"/>
      <c r="N100" s="89"/>
      <c r="O100" s="121" t="s">
        <v>199</v>
      </c>
      <c r="P100" s="88"/>
      <c r="Q100" s="89"/>
      <c r="R100" s="122"/>
      <c r="S100" s="89"/>
      <c r="T100" s="122"/>
      <c r="U100" s="89"/>
      <c r="V100" s="122"/>
      <c r="W100" s="89"/>
      <c r="X100" s="122"/>
      <c r="Y100" s="89"/>
    </row>
    <row r="101" ht="31.5" customHeight="1">
      <c r="A101" s="123"/>
      <c r="B101" s="124"/>
      <c r="C101" s="124"/>
      <c r="D101" s="88"/>
      <c r="E101" s="88"/>
      <c r="F101" s="88"/>
      <c r="G101" s="124"/>
      <c r="H101" s="88"/>
      <c r="I101" s="88"/>
      <c r="J101" s="88"/>
      <c r="K101" s="124"/>
      <c r="L101" s="88"/>
      <c r="M101" s="88"/>
      <c r="N101" s="88"/>
      <c r="O101" s="124"/>
      <c r="P101" s="88"/>
      <c r="Q101" s="88"/>
      <c r="R101" s="124"/>
      <c r="S101" s="88"/>
      <c r="T101" s="124"/>
      <c r="U101" s="88"/>
      <c r="V101" s="124"/>
      <c r="W101" s="88"/>
      <c r="X101" s="124"/>
      <c r="Y101" s="88"/>
    </row>
    <row r="102" ht="31.5" customHeight="1">
      <c r="A102" s="61"/>
      <c r="B102" s="62"/>
      <c r="C102" s="62"/>
      <c r="G102" s="62"/>
      <c r="K102" s="62"/>
      <c r="O102" s="62"/>
      <c r="R102" s="62"/>
      <c r="T102" s="62"/>
      <c r="V102" s="62"/>
      <c r="X102" s="62"/>
    </row>
    <row r="103" ht="31.5" customHeight="1">
      <c r="A103" s="61"/>
      <c r="B103" s="62"/>
      <c r="C103" s="62"/>
      <c r="G103" s="62"/>
      <c r="K103" s="62"/>
      <c r="O103" s="62"/>
      <c r="R103" s="62"/>
      <c r="T103" s="62"/>
      <c r="V103" s="62"/>
      <c r="X103" s="62"/>
    </row>
    <row r="104" ht="31.5" customHeight="1">
      <c r="A104" s="129"/>
      <c r="B104" s="62"/>
      <c r="C104" s="62"/>
      <c r="G104" s="62"/>
      <c r="K104" s="62"/>
      <c r="O104" s="62"/>
      <c r="R104" s="62"/>
      <c r="T104" s="62"/>
      <c r="V104" s="62"/>
      <c r="X104" s="62"/>
    </row>
    <row r="105" ht="31.5" customHeight="1">
      <c r="A105" s="61"/>
      <c r="B105" s="62"/>
      <c r="C105" s="62"/>
      <c r="G105" s="62"/>
      <c r="K105" s="62"/>
      <c r="O105" s="62"/>
      <c r="R105" s="62"/>
      <c r="T105" s="62"/>
      <c r="V105" s="62"/>
      <c r="X105" s="62"/>
    </row>
    <row r="106" ht="31.5" customHeight="1"/>
    <row r="107" ht="31.5" customHeight="1"/>
    <row r="108" ht="31.5" customHeight="1"/>
    <row r="109" ht="31.5" customHeight="1"/>
    <row r="110" ht="31.5" customHeight="1"/>
    <row r="111" ht="63.0" customHeight="1">
      <c r="A111" s="126">
        <v>9.0</v>
      </c>
      <c r="B111" s="103" t="s">
        <v>134</v>
      </c>
      <c r="C111" s="104" t="str">
        <f>'Invetario de Tablas'!B12</f>
        <v>servicio</v>
      </c>
      <c r="D111" s="105"/>
      <c r="E111" s="105"/>
      <c r="F111" s="106"/>
      <c r="G111" s="103" t="s">
        <v>135</v>
      </c>
      <c r="H111" s="32"/>
      <c r="I111" s="32"/>
      <c r="J111" s="33"/>
      <c r="K111" s="107" t="str">
        <f>'Invetario de Tablas'!C12</f>
        <v>asistencia en la necesidad que puedan tener los usuarios</v>
      </c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6"/>
      <c r="X111" s="108" t="s">
        <v>186</v>
      </c>
      <c r="Y111" s="117" t="str">
        <f>Y3</f>
        <v>1.0</v>
      </c>
    </row>
    <row r="112" ht="31.5" customHeight="1">
      <c r="A112" s="110" t="s">
        <v>1</v>
      </c>
      <c r="B112" s="111" t="s">
        <v>187</v>
      </c>
      <c r="C112" s="112" t="s">
        <v>188</v>
      </c>
      <c r="F112" s="113"/>
      <c r="G112" s="114" t="s">
        <v>370</v>
      </c>
      <c r="H112" s="88"/>
      <c r="I112" s="88"/>
      <c r="J112" s="89"/>
      <c r="K112" s="112" t="s">
        <v>190</v>
      </c>
      <c r="N112" s="113"/>
      <c r="O112" s="112" t="s">
        <v>191</v>
      </c>
      <c r="Q112" s="113"/>
      <c r="R112" s="112" t="s">
        <v>192</v>
      </c>
      <c r="S112" s="113"/>
      <c r="T112" s="112" t="s">
        <v>193</v>
      </c>
      <c r="U112" s="113"/>
      <c r="V112" s="112" t="s">
        <v>194</v>
      </c>
      <c r="W112" s="113"/>
      <c r="X112" s="114" t="s">
        <v>195</v>
      </c>
      <c r="Y112" s="115"/>
    </row>
    <row r="113" ht="31.5" customHeight="1">
      <c r="A113" s="127">
        <v>1.0</v>
      </c>
      <c r="B113" s="42" t="s">
        <v>265</v>
      </c>
      <c r="C113" s="43" t="s">
        <v>269</v>
      </c>
      <c r="D113" s="5"/>
      <c r="E113" s="5"/>
      <c r="F113" s="6"/>
      <c r="G113" s="94" t="s">
        <v>372</v>
      </c>
      <c r="H113" s="5"/>
      <c r="I113" s="5"/>
      <c r="J113" s="6"/>
      <c r="K113" s="45">
        <v>5.0</v>
      </c>
      <c r="L113" s="5"/>
      <c r="M113" s="5"/>
      <c r="N113" s="6"/>
      <c r="O113" s="45" t="s">
        <v>199</v>
      </c>
      <c r="P113" s="5"/>
      <c r="Q113" s="6"/>
      <c r="R113" s="47"/>
      <c r="S113" s="6"/>
      <c r="T113" s="46" t="s">
        <v>200</v>
      </c>
      <c r="U113" s="6"/>
      <c r="V113" s="47"/>
      <c r="W113" s="6"/>
      <c r="X113" s="47"/>
      <c r="Y113" s="6"/>
    </row>
    <row r="114" ht="31.5" customHeight="1">
      <c r="A114" s="127">
        <v>2.0</v>
      </c>
      <c r="B114" s="119" t="s">
        <v>196</v>
      </c>
      <c r="C114" s="120" t="s">
        <v>270</v>
      </c>
      <c r="D114" s="88"/>
      <c r="E114" s="88"/>
      <c r="F114" s="89"/>
      <c r="G114" s="116" t="s">
        <v>372</v>
      </c>
      <c r="H114" s="5"/>
      <c r="I114" s="5"/>
      <c r="J114" s="6"/>
      <c r="K114" s="121">
        <v>15.0</v>
      </c>
      <c r="L114" s="88"/>
      <c r="M114" s="88"/>
      <c r="N114" s="89"/>
      <c r="O114" s="121" t="s">
        <v>199</v>
      </c>
      <c r="P114" s="88"/>
      <c r="Q114" s="89"/>
      <c r="R114" s="122"/>
      <c r="S114" s="89"/>
      <c r="T114" s="133" t="s">
        <v>200</v>
      </c>
      <c r="U114" s="89"/>
      <c r="V114" s="122"/>
      <c r="W114" s="89"/>
      <c r="X114" s="122"/>
      <c r="Y114" s="89"/>
    </row>
    <row r="115" ht="31.5" customHeight="1">
      <c r="A115" s="13">
        <v>3.0</v>
      </c>
      <c r="B115" s="42" t="s">
        <v>271</v>
      </c>
      <c r="C115" s="43" t="s">
        <v>272</v>
      </c>
      <c r="D115" s="5"/>
      <c r="E115" s="5"/>
      <c r="F115" s="6"/>
      <c r="G115" s="94" t="s">
        <v>373</v>
      </c>
      <c r="H115" s="5"/>
      <c r="I115" s="5"/>
      <c r="J115" s="6"/>
      <c r="K115" s="45">
        <v>10.0</v>
      </c>
      <c r="L115" s="5"/>
      <c r="M115" s="5"/>
      <c r="N115" s="6"/>
      <c r="O115" s="45" t="s">
        <v>199</v>
      </c>
      <c r="P115" s="5"/>
      <c r="Q115" s="6"/>
      <c r="R115" s="46" t="s">
        <v>200</v>
      </c>
      <c r="S115" s="6"/>
      <c r="T115" s="47"/>
      <c r="U115" s="6"/>
      <c r="V115" s="47"/>
      <c r="W115" s="6"/>
      <c r="X115" s="47"/>
      <c r="Y115" s="6"/>
    </row>
    <row r="116" ht="31.5" customHeight="1">
      <c r="A116" s="61"/>
      <c r="B116" s="62"/>
      <c r="C116" s="62"/>
      <c r="G116" s="62"/>
      <c r="K116" s="62"/>
      <c r="O116" s="62"/>
      <c r="R116" s="62"/>
      <c r="T116" s="62"/>
      <c r="V116" s="62"/>
      <c r="X116" s="62"/>
    </row>
    <row r="117" ht="31.5" customHeight="1">
      <c r="A117" s="61"/>
      <c r="B117" s="62"/>
      <c r="C117" s="62"/>
      <c r="G117" s="62"/>
      <c r="K117" s="62"/>
      <c r="O117" s="62"/>
      <c r="R117" s="62"/>
      <c r="T117" s="62"/>
      <c r="V117" s="62"/>
      <c r="X117" s="62"/>
    </row>
    <row r="118" ht="31.5" customHeight="1">
      <c r="A118" s="129"/>
      <c r="B118" s="62"/>
      <c r="C118" s="62"/>
      <c r="G118" s="62"/>
      <c r="K118" s="62"/>
      <c r="O118" s="62"/>
      <c r="R118" s="62"/>
      <c r="T118" s="62"/>
      <c r="V118" s="62"/>
      <c r="X118" s="62"/>
    </row>
    <row r="119" ht="31.5" customHeight="1">
      <c r="A119" s="61"/>
      <c r="B119" s="62"/>
      <c r="C119" s="62"/>
      <c r="G119" s="62"/>
      <c r="K119" s="62"/>
      <c r="O119" s="62"/>
      <c r="R119" s="62"/>
      <c r="T119" s="62"/>
      <c r="V119" s="62"/>
      <c r="X119" s="62"/>
    </row>
    <row r="120" ht="31.5" customHeight="1"/>
    <row r="121" ht="31.5" customHeight="1"/>
    <row r="122" ht="31.5" customHeight="1"/>
    <row r="123" ht="31.5" customHeight="1"/>
    <row r="124" ht="31.5" customHeight="1"/>
    <row r="125" ht="31.5" customHeight="1">
      <c r="A125" s="126">
        <v>10.0</v>
      </c>
      <c r="B125" s="103" t="s">
        <v>134</v>
      </c>
      <c r="C125" s="104" t="str">
        <f>'Invetario de Tablas'!B13</f>
        <v>tipo_producto</v>
      </c>
      <c r="D125" s="105"/>
      <c r="E125" s="105"/>
      <c r="F125" s="106"/>
      <c r="G125" s="103" t="s">
        <v>135</v>
      </c>
      <c r="H125" s="32"/>
      <c r="I125" s="32"/>
      <c r="J125" s="33"/>
      <c r="K125" s="107" t="str">
        <f>'Invetario de Tablas'!C13</f>
        <v>interaccion de un tipo de producto</v>
      </c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6"/>
      <c r="X125" s="108" t="s">
        <v>186</v>
      </c>
      <c r="Y125" s="117" t="str">
        <f>Y3</f>
        <v>1.0</v>
      </c>
    </row>
    <row r="126" ht="31.5" customHeight="1">
      <c r="A126" s="110" t="s">
        <v>1</v>
      </c>
      <c r="B126" s="111" t="s">
        <v>187</v>
      </c>
      <c r="C126" s="112" t="s">
        <v>188</v>
      </c>
      <c r="F126" s="113"/>
      <c r="G126" s="114" t="s">
        <v>370</v>
      </c>
      <c r="H126" s="88"/>
      <c r="I126" s="88"/>
      <c r="J126" s="89"/>
      <c r="K126" s="112" t="s">
        <v>190</v>
      </c>
      <c r="N126" s="113"/>
      <c r="O126" s="112" t="s">
        <v>191</v>
      </c>
      <c r="Q126" s="113"/>
      <c r="R126" s="112" t="s">
        <v>192</v>
      </c>
      <c r="S126" s="113"/>
      <c r="T126" s="112" t="s">
        <v>193</v>
      </c>
      <c r="U126" s="113"/>
      <c r="V126" s="112" t="s">
        <v>194</v>
      </c>
      <c r="W126" s="113"/>
      <c r="X126" s="114" t="s">
        <v>195</v>
      </c>
      <c r="Y126" s="115"/>
    </row>
    <row r="127" ht="31.5" customHeight="1">
      <c r="A127" s="127">
        <v>1.0</v>
      </c>
      <c r="B127" s="42" t="s">
        <v>273</v>
      </c>
      <c r="C127" s="43" t="s">
        <v>274</v>
      </c>
      <c r="D127" s="5"/>
      <c r="E127" s="5"/>
      <c r="F127" s="6"/>
      <c r="G127" s="94" t="s">
        <v>373</v>
      </c>
      <c r="H127" s="5"/>
      <c r="I127" s="5"/>
      <c r="J127" s="6"/>
      <c r="K127" s="45">
        <v>5.0</v>
      </c>
      <c r="L127" s="5"/>
      <c r="M127" s="5"/>
      <c r="N127" s="6"/>
      <c r="O127" s="45" t="s">
        <v>199</v>
      </c>
      <c r="P127" s="5"/>
      <c r="Q127" s="6"/>
      <c r="R127" s="46" t="s">
        <v>200</v>
      </c>
      <c r="S127" s="6"/>
      <c r="T127" s="47"/>
      <c r="U127" s="6"/>
      <c r="V127" s="47"/>
      <c r="W127" s="6"/>
      <c r="X127" s="47"/>
      <c r="Y127" s="6"/>
    </row>
    <row r="128" ht="31.5" customHeight="1">
      <c r="A128" s="128">
        <v>2.0</v>
      </c>
      <c r="B128" s="119" t="s">
        <v>275</v>
      </c>
      <c r="C128" s="120" t="s">
        <v>276</v>
      </c>
      <c r="D128" s="88"/>
      <c r="E128" s="88"/>
      <c r="F128" s="89"/>
      <c r="G128" s="121" t="s">
        <v>203</v>
      </c>
      <c r="H128" s="88"/>
      <c r="I128" s="88"/>
      <c r="J128" s="89"/>
      <c r="K128" s="121">
        <v>50.0</v>
      </c>
      <c r="L128" s="88"/>
      <c r="M128" s="88"/>
      <c r="N128" s="89"/>
      <c r="O128" s="121" t="s">
        <v>199</v>
      </c>
      <c r="P128" s="88"/>
      <c r="Q128" s="89"/>
      <c r="R128" s="122"/>
      <c r="S128" s="89"/>
      <c r="T128" s="122"/>
      <c r="U128" s="89"/>
      <c r="V128" s="122"/>
      <c r="W128" s="89"/>
      <c r="X128" s="122"/>
      <c r="Y128" s="89"/>
    </row>
    <row r="129" ht="31.5" customHeight="1">
      <c r="A129" s="123"/>
      <c r="B129" s="124"/>
      <c r="C129" s="124"/>
      <c r="D129" s="88"/>
      <c r="E129" s="88"/>
      <c r="F129" s="88"/>
      <c r="G129" s="124"/>
      <c r="H129" s="88"/>
      <c r="I129" s="88"/>
      <c r="J129" s="88"/>
      <c r="K129" s="124"/>
      <c r="L129" s="88"/>
      <c r="M129" s="88"/>
      <c r="N129" s="88"/>
      <c r="O129" s="124"/>
      <c r="P129" s="88"/>
      <c r="Q129" s="88"/>
      <c r="R129" s="124"/>
      <c r="S129" s="88"/>
      <c r="T129" s="124"/>
      <c r="U129" s="88"/>
      <c r="V129" s="124"/>
      <c r="W129" s="88"/>
      <c r="X129" s="124"/>
      <c r="Y129" s="88"/>
    </row>
    <row r="130" ht="31.5" customHeight="1">
      <c r="A130" s="61"/>
      <c r="B130" s="62"/>
      <c r="C130" s="62"/>
      <c r="G130" s="62"/>
      <c r="K130" s="62"/>
      <c r="O130" s="62"/>
      <c r="R130" s="62"/>
      <c r="T130" s="62"/>
      <c r="V130" s="62"/>
      <c r="X130" s="62"/>
    </row>
    <row r="131" ht="31.5" customHeight="1">
      <c r="A131" s="61"/>
      <c r="B131" s="62"/>
      <c r="C131" s="62"/>
      <c r="G131" s="62"/>
      <c r="K131" s="62"/>
      <c r="O131" s="62"/>
      <c r="R131" s="62"/>
      <c r="T131" s="62"/>
      <c r="V131" s="62"/>
      <c r="X131" s="62"/>
    </row>
    <row r="132" ht="31.5" customHeight="1">
      <c r="A132" s="129"/>
      <c r="B132" s="62"/>
      <c r="C132" s="62"/>
      <c r="G132" s="62"/>
      <c r="K132" s="62"/>
      <c r="O132" s="62"/>
      <c r="R132" s="62"/>
      <c r="T132" s="62"/>
      <c r="V132" s="62"/>
      <c r="X132" s="62"/>
    </row>
    <row r="133" ht="31.5" customHeight="1">
      <c r="A133" s="61"/>
      <c r="B133" s="62"/>
      <c r="C133" s="62"/>
      <c r="G133" s="62"/>
      <c r="K133" s="62"/>
      <c r="O133" s="62"/>
      <c r="R133" s="62"/>
      <c r="T133" s="62"/>
      <c r="V133" s="62"/>
      <c r="X133" s="62"/>
    </row>
    <row r="134" ht="31.5" customHeight="1"/>
    <row r="135" ht="31.5" customHeight="1"/>
    <row r="136" ht="31.5" customHeight="1"/>
    <row r="137" ht="31.5" customHeight="1"/>
    <row r="138" ht="31.5" customHeight="1"/>
    <row r="139" ht="31.5" customHeight="1">
      <c r="A139" s="126">
        <v>11.0</v>
      </c>
      <c r="B139" s="103" t="s">
        <v>134</v>
      </c>
      <c r="C139" s="104" t="str">
        <f>'Invetario de Tablas'!B14</f>
        <v>producto</v>
      </c>
      <c r="D139" s="105"/>
      <c r="E139" s="105"/>
      <c r="F139" s="106"/>
      <c r="G139" s="103" t="s">
        <v>135</v>
      </c>
      <c r="H139" s="32"/>
      <c r="I139" s="32"/>
      <c r="J139" s="33"/>
      <c r="K139" s="107" t="str">
        <f>'Invetario de Tablas'!C14</f>
        <v>artículos disponibles en la plataforma</v>
      </c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6"/>
      <c r="X139" s="108" t="s">
        <v>186</v>
      </c>
      <c r="Y139" s="117" t="str">
        <f>Y3</f>
        <v>1.0</v>
      </c>
    </row>
    <row r="140" ht="31.5" customHeight="1">
      <c r="A140" s="110" t="s">
        <v>1</v>
      </c>
      <c r="B140" s="111" t="s">
        <v>187</v>
      </c>
      <c r="C140" s="112" t="s">
        <v>188</v>
      </c>
      <c r="F140" s="113"/>
      <c r="G140" s="114" t="s">
        <v>370</v>
      </c>
      <c r="H140" s="88"/>
      <c r="I140" s="88"/>
      <c r="J140" s="89"/>
      <c r="K140" s="112" t="s">
        <v>190</v>
      </c>
      <c r="N140" s="113"/>
      <c r="O140" s="112" t="s">
        <v>191</v>
      </c>
      <c r="Q140" s="113"/>
      <c r="R140" s="112" t="s">
        <v>192</v>
      </c>
      <c r="S140" s="113"/>
      <c r="T140" s="112" t="s">
        <v>193</v>
      </c>
      <c r="U140" s="113"/>
      <c r="V140" s="112" t="s">
        <v>194</v>
      </c>
      <c r="W140" s="113"/>
      <c r="X140" s="114" t="s">
        <v>195</v>
      </c>
      <c r="Y140" s="115"/>
    </row>
    <row r="141" ht="31.5" customHeight="1">
      <c r="A141" s="127">
        <v>1.0</v>
      </c>
      <c r="B141" s="42" t="s">
        <v>277</v>
      </c>
      <c r="C141" s="43" t="s">
        <v>278</v>
      </c>
      <c r="D141" s="5"/>
      <c r="E141" s="5"/>
      <c r="F141" s="6"/>
      <c r="G141" s="45" t="s">
        <v>203</v>
      </c>
      <c r="H141" s="5"/>
      <c r="I141" s="5"/>
      <c r="J141" s="6"/>
      <c r="K141" s="45">
        <v>80.0</v>
      </c>
      <c r="L141" s="5"/>
      <c r="M141" s="5"/>
      <c r="N141" s="6"/>
      <c r="O141" s="45" t="s">
        <v>199</v>
      </c>
      <c r="P141" s="5"/>
      <c r="Q141" s="6"/>
      <c r="R141" s="47"/>
      <c r="S141" s="6"/>
      <c r="T141" s="47"/>
      <c r="U141" s="6"/>
      <c r="V141" s="47"/>
      <c r="W141" s="6"/>
      <c r="X141" s="47"/>
      <c r="Y141" s="6"/>
    </row>
    <row r="142" ht="31.5" customHeight="1">
      <c r="A142" s="127">
        <v>2.0</v>
      </c>
      <c r="B142" s="42" t="s">
        <v>279</v>
      </c>
      <c r="C142" s="43" t="s">
        <v>280</v>
      </c>
      <c r="D142" s="5"/>
      <c r="E142" s="5"/>
      <c r="F142" s="6"/>
      <c r="G142" s="116" t="s">
        <v>374</v>
      </c>
      <c r="H142" s="5"/>
      <c r="I142" s="5"/>
      <c r="J142" s="6"/>
      <c r="K142" s="45">
        <v>10.2</v>
      </c>
      <c r="L142" s="5"/>
      <c r="M142" s="5"/>
      <c r="N142" s="6"/>
      <c r="O142" s="45" t="s">
        <v>199</v>
      </c>
      <c r="P142" s="5"/>
      <c r="Q142" s="6"/>
      <c r="R142" s="47"/>
      <c r="S142" s="6"/>
      <c r="T142" s="47"/>
      <c r="U142" s="6"/>
      <c r="V142" s="47"/>
      <c r="W142" s="6"/>
      <c r="X142" s="47"/>
      <c r="Y142" s="6"/>
    </row>
    <row r="143" ht="31.5" customHeight="1">
      <c r="A143" s="127">
        <v>3.0</v>
      </c>
      <c r="B143" s="42" t="s">
        <v>273</v>
      </c>
      <c r="C143" s="43" t="s">
        <v>282</v>
      </c>
      <c r="D143" s="5"/>
      <c r="E143" s="5"/>
      <c r="F143" s="6"/>
      <c r="G143" s="116" t="s">
        <v>372</v>
      </c>
      <c r="H143" s="5"/>
      <c r="I143" s="5"/>
      <c r="J143" s="6"/>
      <c r="K143" s="45">
        <v>5.0</v>
      </c>
      <c r="L143" s="5"/>
      <c r="M143" s="5"/>
      <c r="N143" s="6"/>
      <c r="O143" s="45" t="s">
        <v>199</v>
      </c>
      <c r="P143" s="5"/>
      <c r="Q143" s="6"/>
      <c r="R143" s="47"/>
      <c r="S143" s="6"/>
      <c r="T143" s="46" t="s">
        <v>200</v>
      </c>
      <c r="U143" s="6"/>
      <c r="V143" s="47"/>
      <c r="W143" s="6"/>
      <c r="X143" s="47"/>
      <c r="Y143" s="6"/>
    </row>
    <row r="144" ht="31.5" customHeight="1">
      <c r="A144" s="128">
        <v>4.0</v>
      </c>
      <c r="B144" s="119" t="s">
        <v>283</v>
      </c>
      <c r="C144" s="120" t="s">
        <v>284</v>
      </c>
      <c r="D144" s="88"/>
      <c r="E144" s="88"/>
      <c r="F144" s="89"/>
      <c r="G144" s="134" t="s">
        <v>373</v>
      </c>
      <c r="H144" s="88"/>
      <c r="I144" s="88"/>
      <c r="J144" s="89"/>
      <c r="K144" s="121">
        <v>10.0</v>
      </c>
      <c r="L144" s="88"/>
      <c r="M144" s="88"/>
      <c r="N144" s="89"/>
      <c r="O144" s="121" t="s">
        <v>199</v>
      </c>
      <c r="P144" s="88"/>
      <c r="Q144" s="89"/>
      <c r="R144" s="133" t="s">
        <v>200</v>
      </c>
      <c r="S144" s="89"/>
      <c r="T144" s="122"/>
      <c r="U144" s="89"/>
      <c r="V144" s="122"/>
      <c r="W144" s="89"/>
      <c r="X144" s="122"/>
      <c r="Y144" s="89"/>
    </row>
    <row r="145" ht="31.5" customHeight="1">
      <c r="A145" s="123"/>
      <c r="B145" s="124"/>
      <c r="C145" s="124"/>
      <c r="D145" s="88"/>
      <c r="E145" s="88"/>
      <c r="F145" s="88"/>
      <c r="G145" s="124"/>
      <c r="H145" s="88"/>
      <c r="I145" s="88"/>
      <c r="J145" s="88"/>
      <c r="K145" s="124"/>
      <c r="L145" s="88"/>
      <c r="M145" s="88"/>
      <c r="N145" s="88"/>
      <c r="O145" s="124"/>
      <c r="P145" s="88"/>
      <c r="Q145" s="88"/>
      <c r="R145" s="124"/>
      <c r="S145" s="88"/>
      <c r="T145" s="124"/>
      <c r="U145" s="88"/>
      <c r="V145" s="124"/>
      <c r="W145" s="88"/>
      <c r="X145" s="124"/>
      <c r="Y145" s="88"/>
    </row>
    <row r="146" ht="31.5" customHeight="1">
      <c r="A146" s="129"/>
      <c r="B146" s="62"/>
      <c r="C146" s="62"/>
      <c r="G146" s="62"/>
      <c r="K146" s="62"/>
      <c r="O146" s="62"/>
      <c r="R146" s="62"/>
      <c r="T146" s="62"/>
      <c r="V146" s="62"/>
      <c r="X146" s="62"/>
    </row>
    <row r="147" ht="31.5" customHeight="1">
      <c r="A147" s="61"/>
      <c r="B147" s="62"/>
      <c r="C147" s="62"/>
      <c r="G147" s="62"/>
      <c r="K147" s="62"/>
      <c r="O147" s="62"/>
      <c r="R147" s="62"/>
      <c r="T147" s="62"/>
      <c r="V147" s="62"/>
      <c r="X147" s="62"/>
    </row>
    <row r="148" ht="31.5" customHeight="1"/>
    <row r="149" ht="31.5" customHeight="1"/>
    <row r="150" ht="31.5" customHeight="1"/>
    <row r="151" ht="31.5" customHeight="1"/>
    <row r="152" ht="31.5" customHeight="1"/>
    <row r="153" ht="31.5" customHeight="1">
      <c r="A153" s="126">
        <v>12.0</v>
      </c>
      <c r="B153" s="103" t="s">
        <v>134</v>
      </c>
      <c r="C153" s="104" t="str">
        <f>'Invetario de Tablas'!B15</f>
        <v>tipo_evento</v>
      </c>
      <c r="D153" s="105"/>
      <c r="E153" s="105"/>
      <c r="F153" s="106"/>
      <c r="G153" s="103" t="s">
        <v>135</v>
      </c>
      <c r="H153" s="32"/>
      <c r="I153" s="32"/>
      <c r="J153" s="33"/>
      <c r="K153" s="107" t="str">
        <f>'Invetario de Tablas'!C15</f>
        <v>interaccion de un tipo de evento</v>
      </c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6"/>
      <c r="X153" s="108" t="s">
        <v>186</v>
      </c>
      <c r="Y153" s="117" t="str">
        <f>Y3</f>
        <v>1.0</v>
      </c>
    </row>
    <row r="154" ht="31.5" customHeight="1">
      <c r="A154" s="110" t="s">
        <v>1</v>
      </c>
      <c r="B154" s="111" t="s">
        <v>187</v>
      </c>
      <c r="C154" s="112" t="s">
        <v>188</v>
      </c>
      <c r="F154" s="113"/>
      <c r="G154" s="114" t="s">
        <v>370</v>
      </c>
      <c r="H154" s="88"/>
      <c r="I154" s="88"/>
      <c r="J154" s="89"/>
      <c r="K154" s="112" t="s">
        <v>190</v>
      </c>
      <c r="N154" s="113"/>
      <c r="O154" s="112" t="s">
        <v>191</v>
      </c>
      <c r="Q154" s="113"/>
      <c r="R154" s="112" t="s">
        <v>192</v>
      </c>
      <c r="S154" s="113"/>
      <c r="T154" s="112" t="s">
        <v>193</v>
      </c>
      <c r="U154" s="113"/>
      <c r="V154" s="112" t="s">
        <v>194</v>
      </c>
      <c r="W154" s="113"/>
      <c r="X154" s="114" t="s">
        <v>195</v>
      </c>
      <c r="Y154" s="115"/>
    </row>
    <row r="155" ht="31.5" customHeight="1">
      <c r="A155" s="127">
        <v>1.0</v>
      </c>
      <c r="B155" s="42" t="s">
        <v>285</v>
      </c>
      <c r="C155" s="43" t="s">
        <v>286</v>
      </c>
      <c r="D155" s="5"/>
      <c r="E155" s="5"/>
      <c r="F155" s="6"/>
      <c r="G155" s="94" t="s">
        <v>373</v>
      </c>
      <c r="H155" s="5"/>
      <c r="I155" s="5"/>
      <c r="J155" s="6"/>
      <c r="K155" s="45">
        <v>5.0</v>
      </c>
      <c r="L155" s="5"/>
      <c r="M155" s="5"/>
      <c r="N155" s="6"/>
      <c r="O155" s="45" t="s">
        <v>199</v>
      </c>
      <c r="P155" s="5"/>
      <c r="Q155" s="6"/>
      <c r="R155" s="46" t="s">
        <v>200</v>
      </c>
      <c r="S155" s="6"/>
      <c r="T155" s="47"/>
      <c r="U155" s="6"/>
      <c r="V155" s="47"/>
      <c r="W155" s="6"/>
      <c r="X155" s="47"/>
      <c r="Y155" s="6"/>
    </row>
    <row r="156" ht="31.5" customHeight="1">
      <c r="A156" s="128">
        <v>2.0</v>
      </c>
      <c r="B156" s="119" t="s">
        <v>287</v>
      </c>
      <c r="C156" s="120" t="s">
        <v>288</v>
      </c>
      <c r="D156" s="88"/>
      <c r="E156" s="88"/>
      <c r="F156" s="89"/>
      <c r="G156" s="121" t="s">
        <v>203</v>
      </c>
      <c r="H156" s="88"/>
      <c r="I156" s="88"/>
      <c r="J156" s="89"/>
      <c r="K156" s="121">
        <v>50.0</v>
      </c>
      <c r="L156" s="88"/>
      <c r="M156" s="88"/>
      <c r="N156" s="89"/>
      <c r="O156" s="121" t="s">
        <v>199</v>
      </c>
      <c r="P156" s="88"/>
      <c r="Q156" s="89"/>
      <c r="R156" s="122"/>
      <c r="S156" s="89"/>
      <c r="T156" s="122"/>
      <c r="U156" s="89"/>
      <c r="V156" s="122"/>
      <c r="W156" s="89"/>
      <c r="X156" s="122"/>
      <c r="Y156" s="89"/>
    </row>
    <row r="157" ht="31.5" customHeight="1">
      <c r="A157" s="123"/>
      <c r="B157" s="124"/>
      <c r="C157" s="124"/>
      <c r="D157" s="88"/>
      <c r="E157" s="88"/>
      <c r="F157" s="88"/>
      <c r="G157" s="124"/>
      <c r="H157" s="88"/>
      <c r="I157" s="88"/>
      <c r="J157" s="88"/>
      <c r="K157" s="124"/>
      <c r="L157" s="88"/>
      <c r="M157" s="88"/>
      <c r="N157" s="88"/>
      <c r="O157" s="124"/>
      <c r="P157" s="88"/>
      <c r="Q157" s="88"/>
      <c r="R157" s="124"/>
      <c r="S157" s="88"/>
      <c r="T157" s="124"/>
      <c r="U157" s="88"/>
      <c r="V157" s="124"/>
      <c r="W157" s="88"/>
      <c r="X157" s="124"/>
      <c r="Y157" s="88"/>
    </row>
    <row r="158" ht="31.5" customHeight="1">
      <c r="A158" s="61"/>
      <c r="B158" s="62"/>
      <c r="C158" s="62"/>
      <c r="G158" s="62"/>
      <c r="K158" s="62"/>
      <c r="O158" s="62"/>
      <c r="R158" s="62"/>
      <c r="T158" s="62"/>
      <c r="V158" s="62"/>
      <c r="X158" s="62"/>
    </row>
    <row r="159" ht="31.5" customHeight="1">
      <c r="A159" s="61"/>
      <c r="B159" s="62"/>
      <c r="C159" s="62"/>
      <c r="G159" s="62"/>
      <c r="K159" s="62"/>
      <c r="O159" s="62"/>
      <c r="R159" s="62"/>
      <c r="T159" s="62"/>
      <c r="V159" s="62"/>
      <c r="X159" s="62"/>
    </row>
    <row r="160" ht="31.5" customHeight="1">
      <c r="A160" s="129"/>
      <c r="B160" s="62"/>
      <c r="C160" s="62"/>
      <c r="G160" s="62"/>
      <c r="K160" s="62"/>
      <c r="O160" s="62"/>
      <c r="R160" s="62"/>
      <c r="T160" s="62"/>
      <c r="V160" s="62"/>
      <c r="X160" s="62"/>
    </row>
    <row r="161" ht="31.5" customHeight="1">
      <c r="A161" s="61"/>
      <c r="B161" s="62"/>
      <c r="C161" s="62"/>
      <c r="G161" s="62"/>
      <c r="K161" s="62"/>
      <c r="O161" s="62"/>
      <c r="R161" s="62"/>
      <c r="T161" s="62"/>
      <c r="V161" s="62"/>
      <c r="X161" s="62"/>
    </row>
    <row r="162" ht="31.5" customHeight="1"/>
    <row r="163" ht="31.5" customHeight="1"/>
    <row r="164" ht="31.5" customHeight="1"/>
    <row r="165" ht="31.5" customHeight="1"/>
    <row r="166" ht="31.5" customHeight="1"/>
    <row r="167" ht="52.5" customHeight="1">
      <c r="A167" s="126">
        <v>13.0</v>
      </c>
      <c r="B167" s="103" t="s">
        <v>134</v>
      </c>
      <c r="C167" s="104" t="str">
        <f>'Invetario de Tablas'!B16</f>
        <v>evento</v>
      </c>
      <c r="D167" s="105"/>
      <c r="E167" s="105"/>
      <c r="F167" s="106"/>
      <c r="G167" s="103" t="s">
        <v>135</v>
      </c>
      <c r="H167" s="32"/>
      <c r="I167" s="32"/>
      <c r="J167" s="33"/>
      <c r="K167" s="107" t="str">
        <f>'Invetario de Tablas'!C16</f>
        <v>organización de grandes reuniones que incitan el aprendizaje</v>
      </c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6"/>
      <c r="X167" s="108" t="s">
        <v>186</v>
      </c>
      <c r="Y167" s="117" t="str">
        <f>Y3</f>
        <v>1.0</v>
      </c>
    </row>
    <row r="168" ht="31.5" customHeight="1">
      <c r="A168" s="110" t="s">
        <v>1</v>
      </c>
      <c r="B168" s="111" t="s">
        <v>187</v>
      </c>
      <c r="C168" s="112" t="s">
        <v>188</v>
      </c>
      <c r="F168" s="113"/>
      <c r="G168" s="114" t="s">
        <v>370</v>
      </c>
      <c r="H168" s="88"/>
      <c r="I168" s="88"/>
      <c r="J168" s="89"/>
      <c r="K168" s="112" t="s">
        <v>190</v>
      </c>
      <c r="N168" s="113"/>
      <c r="O168" s="112" t="s">
        <v>191</v>
      </c>
      <c r="Q168" s="113"/>
      <c r="R168" s="112" t="s">
        <v>192</v>
      </c>
      <c r="S168" s="113"/>
      <c r="T168" s="112" t="s">
        <v>193</v>
      </c>
      <c r="U168" s="113"/>
      <c r="V168" s="112" t="s">
        <v>194</v>
      </c>
      <c r="W168" s="113"/>
      <c r="X168" s="114" t="s">
        <v>195</v>
      </c>
      <c r="Y168" s="115"/>
    </row>
    <row r="169" ht="31.5" customHeight="1">
      <c r="A169" s="41">
        <v>1.0</v>
      </c>
      <c r="B169" s="42" t="s">
        <v>289</v>
      </c>
      <c r="C169" s="43" t="s">
        <v>290</v>
      </c>
      <c r="D169" s="5"/>
      <c r="E169" s="5"/>
      <c r="F169" s="6"/>
      <c r="G169" s="45" t="s">
        <v>203</v>
      </c>
      <c r="H169" s="5"/>
      <c r="I169" s="5"/>
      <c r="J169" s="6"/>
      <c r="K169" s="45">
        <v>100.0</v>
      </c>
      <c r="L169" s="5"/>
      <c r="M169" s="5"/>
      <c r="N169" s="6"/>
      <c r="O169" s="45" t="s">
        <v>199</v>
      </c>
      <c r="P169" s="5"/>
      <c r="Q169" s="6"/>
      <c r="R169" s="47"/>
      <c r="S169" s="6"/>
      <c r="T169" s="47"/>
      <c r="U169" s="6"/>
      <c r="V169" s="47"/>
      <c r="W169" s="6"/>
      <c r="X169" s="47"/>
      <c r="Y169" s="6"/>
    </row>
    <row r="170" ht="31.5" customHeight="1">
      <c r="A170" s="41">
        <v>2.0</v>
      </c>
      <c r="B170" s="42" t="s">
        <v>291</v>
      </c>
      <c r="C170" s="43" t="s">
        <v>292</v>
      </c>
      <c r="D170" s="5"/>
      <c r="E170" s="5"/>
      <c r="F170" s="6"/>
      <c r="G170" s="45" t="s">
        <v>245</v>
      </c>
      <c r="H170" s="5"/>
      <c r="I170" s="5"/>
      <c r="J170" s="6"/>
      <c r="K170" s="45">
        <v>10.0</v>
      </c>
      <c r="L170" s="5"/>
      <c r="M170" s="5"/>
      <c r="N170" s="6"/>
      <c r="O170" s="45" t="s">
        <v>199</v>
      </c>
      <c r="P170" s="5"/>
      <c r="Q170" s="6"/>
      <c r="R170" s="47"/>
      <c r="S170" s="6"/>
      <c r="T170" s="47"/>
      <c r="U170" s="6"/>
      <c r="V170" s="47"/>
      <c r="W170" s="6"/>
      <c r="X170" s="47"/>
      <c r="Y170" s="6"/>
    </row>
    <row r="171" ht="31.5" customHeight="1">
      <c r="A171" s="41">
        <v>3.0</v>
      </c>
      <c r="B171" s="42" t="s">
        <v>293</v>
      </c>
      <c r="C171" s="43" t="s">
        <v>294</v>
      </c>
      <c r="D171" s="5"/>
      <c r="E171" s="5"/>
      <c r="F171" s="6"/>
      <c r="G171" s="45" t="s">
        <v>203</v>
      </c>
      <c r="H171" s="5"/>
      <c r="I171" s="5"/>
      <c r="J171" s="6"/>
      <c r="K171" s="45">
        <v>5.0</v>
      </c>
      <c r="L171" s="5"/>
      <c r="M171" s="5"/>
      <c r="N171" s="6"/>
      <c r="O171" s="45" t="s">
        <v>199</v>
      </c>
      <c r="P171" s="5"/>
      <c r="Q171" s="6"/>
      <c r="R171" s="47"/>
      <c r="S171" s="6"/>
      <c r="T171" s="47"/>
      <c r="U171" s="6"/>
      <c r="V171" s="47"/>
      <c r="W171" s="6"/>
      <c r="X171" s="47"/>
      <c r="Y171" s="6"/>
    </row>
    <row r="172" ht="31.5" customHeight="1">
      <c r="A172" s="41">
        <v>4.0</v>
      </c>
      <c r="B172" s="42" t="s">
        <v>295</v>
      </c>
      <c r="C172" s="43" t="s">
        <v>296</v>
      </c>
      <c r="D172" s="5"/>
      <c r="E172" s="5"/>
      <c r="F172" s="6"/>
      <c r="G172" s="45" t="s">
        <v>203</v>
      </c>
      <c r="H172" s="5"/>
      <c r="I172" s="5"/>
      <c r="J172" s="6"/>
      <c r="K172" s="45">
        <v>50.0</v>
      </c>
      <c r="L172" s="5"/>
      <c r="M172" s="5"/>
      <c r="N172" s="6"/>
      <c r="O172" s="45" t="s">
        <v>199</v>
      </c>
      <c r="P172" s="5"/>
      <c r="Q172" s="6"/>
      <c r="R172" s="47"/>
      <c r="S172" s="6"/>
      <c r="T172" s="47"/>
      <c r="U172" s="6"/>
      <c r="V172" s="47"/>
      <c r="W172" s="6"/>
      <c r="X172" s="47"/>
      <c r="Y172" s="6"/>
    </row>
    <row r="173" ht="31.5" customHeight="1">
      <c r="A173" s="41">
        <v>5.0</v>
      </c>
      <c r="B173" s="42" t="s">
        <v>285</v>
      </c>
      <c r="C173" s="43" t="s">
        <v>286</v>
      </c>
      <c r="D173" s="5"/>
      <c r="E173" s="5"/>
      <c r="F173" s="6"/>
      <c r="G173" s="116" t="s">
        <v>372</v>
      </c>
      <c r="H173" s="5"/>
      <c r="I173" s="5"/>
      <c r="J173" s="6"/>
      <c r="K173" s="45">
        <v>5.0</v>
      </c>
      <c r="L173" s="5"/>
      <c r="M173" s="5"/>
      <c r="N173" s="6"/>
      <c r="O173" s="45" t="s">
        <v>199</v>
      </c>
      <c r="P173" s="5"/>
      <c r="Q173" s="6"/>
      <c r="R173" s="47"/>
      <c r="S173" s="6"/>
      <c r="T173" s="46" t="s">
        <v>200</v>
      </c>
      <c r="U173" s="6"/>
      <c r="V173" s="47"/>
      <c r="W173" s="6"/>
      <c r="X173" s="47"/>
      <c r="Y173" s="6"/>
    </row>
    <row r="174" ht="31.5" customHeight="1">
      <c r="A174" s="41">
        <v>6.0</v>
      </c>
      <c r="B174" s="42" t="s">
        <v>196</v>
      </c>
      <c r="C174" s="43" t="s">
        <v>297</v>
      </c>
      <c r="D174" s="5"/>
      <c r="E174" s="5"/>
      <c r="F174" s="6"/>
      <c r="G174" s="116" t="s">
        <v>372</v>
      </c>
      <c r="H174" s="5"/>
      <c r="I174" s="5"/>
      <c r="J174" s="6"/>
      <c r="K174" s="45">
        <v>15.0</v>
      </c>
      <c r="L174" s="5"/>
      <c r="M174" s="5"/>
      <c r="N174" s="6"/>
      <c r="O174" s="45" t="s">
        <v>199</v>
      </c>
      <c r="P174" s="5"/>
      <c r="Q174" s="6"/>
      <c r="R174" s="47"/>
      <c r="S174" s="6"/>
      <c r="T174" s="46" t="s">
        <v>200</v>
      </c>
      <c r="U174" s="6"/>
      <c r="V174" s="47"/>
      <c r="W174" s="6"/>
      <c r="X174" s="47"/>
      <c r="Y174" s="6"/>
    </row>
    <row r="175" ht="31.5" customHeight="1">
      <c r="A175" s="41">
        <v>7.0</v>
      </c>
      <c r="B175" s="42" t="s">
        <v>298</v>
      </c>
      <c r="C175" s="43" t="s">
        <v>299</v>
      </c>
      <c r="D175" s="5"/>
      <c r="E175" s="5"/>
      <c r="F175" s="6"/>
      <c r="G175" s="94" t="s">
        <v>373</v>
      </c>
      <c r="H175" s="5"/>
      <c r="I175" s="5"/>
      <c r="J175" s="6"/>
      <c r="K175" s="45">
        <v>5.0</v>
      </c>
      <c r="L175" s="5"/>
      <c r="M175" s="5"/>
      <c r="N175" s="6"/>
      <c r="O175" s="45" t="s">
        <v>199</v>
      </c>
      <c r="P175" s="5"/>
      <c r="Q175" s="6"/>
      <c r="R175" s="46" t="s">
        <v>200</v>
      </c>
      <c r="S175" s="6"/>
      <c r="T175" s="47"/>
      <c r="U175" s="6"/>
      <c r="V175" s="47"/>
      <c r="W175" s="6"/>
      <c r="X175" s="47"/>
      <c r="Y175" s="6"/>
    </row>
    <row r="176" ht="31.5" customHeight="1"/>
    <row r="177" ht="31.5" customHeight="1"/>
    <row r="178" ht="31.5" customHeight="1"/>
    <row r="179" ht="31.5" customHeight="1"/>
    <row r="180" ht="31.5" customHeight="1"/>
    <row r="181" ht="60.75" customHeight="1">
      <c r="A181" s="126">
        <v>14.0</v>
      </c>
      <c r="B181" s="103" t="s">
        <v>134</v>
      </c>
      <c r="C181" s="104" t="str">
        <f>'Invetario de Tablas'!B17</f>
        <v>venta</v>
      </c>
      <c r="D181" s="105"/>
      <c r="E181" s="105"/>
      <c r="F181" s="106"/>
      <c r="G181" s="103" t="s">
        <v>135</v>
      </c>
      <c r="H181" s="32"/>
      <c r="I181" s="32"/>
      <c r="J181" s="33"/>
      <c r="K181" s="107" t="str">
        <f>'Invetario de Tablas'!C17</f>
        <v>transacción entre el usuario y un vendedor a través de la red social pascualina</v>
      </c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6"/>
      <c r="X181" s="108" t="s">
        <v>186</v>
      </c>
      <c r="Y181" s="117" t="str">
        <f>Y3</f>
        <v>1.0</v>
      </c>
    </row>
    <row r="182" ht="31.5" customHeight="1">
      <c r="A182" s="110" t="s">
        <v>1</v>
      </c>
      <c r="B182" s="111" t="s">
        <v>187</v>
      </c>
      <c r="C182" s="112" t="s">
        <v>188</v>
      </c>
      <c r="F182" s="113"/>
      <c r="G182" s="114" t="s">
        <v>370</v>
      </c>
      <c r="H182" s="88"/>
      <c r="I182" s="88"/>
      <c r="J182" s="89"/>
      <c r="K182" s="112" t="s">
        <v>190</v>
      </c>
      <c r="N182" s="113"/>
      <c r="O182" s="112" t="s">
        <v>191</v>
      </c>
      <c r="Q182" s="113"/>
      <c r="R182" s="112" t="s">
        <v>192</v>
      </c>
      <c r="S182" s="113"/>
      <c r="T182" s="112" t="s">
        <v>193</v>
      </c>
      <c r="U182" s="113"/>
      <c r="V182" s="112" t="s">
        <v>194</v>
      </c>
      <c r="W182" s="113"/>
      <c r="X182" s="114" t="s">
        <v>195</v>
      </c>
      <c r="Y182" s="115"/>
    </row>
    <row r="183" ht="31.5" customHeight="1">
      <c r="A183" s="41">
        <v>1.0</v>
      </c>
      <c r="B183" s="42" t="s">
        <v>300</v>
      </c>
      <c r="C183" s="43" t="s">
        <v>301</v>
      </c>
      <c r="D183" s="5"/>
      <c r="E183" s="5"/>
      <c r="F183" s="6"/>
      <c r="G183" s="94" t="s">
        <v>373</v>
      </c>
      <c r="H183" s="5"/>
      <c r="I183" s="5"/>
      <c r="J183" s="6"/>
      <c r="K183" s="45">
        <v>5.0</v>
      </c>
      <c r="L183" s="5"/>
      <c r="M183" s="5"/>
      <c r="N183" s="6"/>
      <c r="O183" s="45" t="s">
        <v>199</v>
      </c>
      <c r="P183" s="5"/>
      <c r="Q183" s="6"/>
      <c r="R183" s="46" t="s">
        <v>200</v>
      </c>
      <c r="S183" s="6"/>
      <c r="T183" s="47"/>
      <c r="U183" s="6"/>
      <c r="V183" s="47"/>
      <c r="W183" s="6"/>
      <c r="X183" s="47"/>
      <c r="Y183" s="6"/>
    </row>
    <row r="184" ht="31.5" customHeight="1">
      <c r="A184" s="41">
        <v>2.0</v>
      </c>
      <c r="B184" s="42" t="s">
        <v>303</v>
      </c>
      <c r="C184" s="43" t="s">
        <v>270</v>
      </c>
      <c r="D184" s="5"/>
      <c r="E184" s="5"/>
      <c r="F184" s="6"/>
      <c r="G184" s="116" t="s">
        <v>372</v>
      </c>
      <c r="H184" s="5"/>
      <c r="I184" s="5"/>
      <c r="J184" s="6"/>
      <c r="K184" s="45">
        <v>15.0</v>
      </c>
      <c r="L184" s="5"/>
      <c r="M184" s="5"/>
      <c r="N184" s="6"/>
      <c r="O184" s="45" t="s">
        <v>199</v>
      </c>
      <c r="P184" s="5"/>
      <c r="Q184" s="6"/>
      <c r="R184" s="47"/>
      <c r="S184" s="6"/>
      <c r="T184" s="46" t="s">
        <v>200</v>
      </c>
      <c r="U184" s="6"/>
      <c r="V184" s="47"/>
      <c r="W184" s="6"/>
      <c r="X184" s="47"/>
      <c r="Y184" s="6"/>
    </row>
    <row r="185" ht="31.5" customHeight="1">
      <c r="A185" s="41">
        <v>3.0</v>
      </c>
      <c r="B185" s="42" t="s">
        <v>304</v>
      </c>
      <c r="C185" s="43" t="s">
        <v>305</v>
      </c>
      <c r="D185" s="5"/>
      <c r="E185" s="5"/>
      <c r="F185" s="6"/>
      <c r="G185" s="116" t="s">
        <v>372</v>
      </c>
      <c r="H185" s="5"/>
      <c r="I185" s="5"/>
      <c r="J185" s="6"/>
      <c r="K185" s="45">
        <v>15.0</v>
      </c>
      <c r="L185" s="5"/>
      <c r="M185" s="5"/>
      <c r="N185" s="6"/>
      <c r="O185" s="45" t="s">
        <v>199</v>
      </c>
      <c r="P185" s="5"/>
      <c r="Q185" s="6"/>
      <c r="R185" s="47"/>
      <c r="S185" s="6"/>
      <c r="T185" s="46" t="s">
        <v>200</v>
      </c>
      <c r="U185" s="6"/>
      <c r="V185" s="47"/>
      <c r="W185" s="6"/>
      <c r="X185" s="47"/>
      <c r="Y185" s="6"/>
    </row>
    <row r="186" ht="31.5" customHeight="1">
      <c r="A186" s="41">
        <v>4.0</v>
      </c>
      <c r="B186" s="42" t="s">
        <v>283</v>
      </c>
      <c r="C186" s="43" t="s">
        <v>306</v>
      </c>
      <c r="D186" s="5"/>
      <c r="E186" s="5"/>
      <c r="F186" s="6"/>
      <c r="G186" s="94" t="s">
        <v>372</v>
      </c>
      <c r="H186" s="5"/>
      <c r="I186" s="5"/>
      <c r="J186" s="6"/>
      <c r="K186" s="45">
        <v>10.0</v>
      </c>
      <c r="L186" s="5"/>
      <c r="M186" s="5"/>
      <c r="N186" s="6"/>
      <c r="O186" s="45" t="s">
        <v>199</v>
      </c>
      <c r="P186" s="5"/>
      <c r="Q186" s="6"/>
      <c r="R186" s="47"/>
      <c r="S186" s="6"/>
      <c r="T186" s="46" t="s">
        <v>200</v>
      </c>
      <c r="U186" s="6"/>
      <c r="V186" s="47"/>
      <c r="W186" s="6"/>
      <c r="X186" s="47"/>
      <c r="Y186" s="6"/>
    </row>
    <row r="187" ht="31.5" customHeight="1">
      <c r="A187" s="41">
        <v>5.0</v>
      </c>
      <c r="B187" s="42" t="s">
        <v>307</v>
      </c>
      <c r="C187" s="43" t="s">
        <v>308</v>
      </c>
      <c r="D187" s="5"/>
      <c r="E187" s="5"/>
      <c r="F187" s="6"/>
      <c r="G187" s="45" t="s">
        <v>245</v>
      </c>
      <c r="H187" s="5"/>
      <c r="I187" s="5"/>
      <c r="J187" s="6"/>
      <c r="K187" s="45">
        <v>10.0</v>
      </c>
      <c r="L187" s="5"/>
      <c r="M187" s="5"/>
      <c r="N187" s="6"/>
      <c r="O187" s="45" t="s">
        <v>199</v>
      </c>
      <c r="P187" s="5"/>
      <c r="Q187" s="6"/>
      <c r="R187" s="47"/>
      <c r="S187" s="6"/>
      <c r="T187" s="47"/>
      <c r="U187" s="6"/>
      <c r="V187" s="47"/>
      <c r="W187" s="6"/>
      <c r="X187" s="47"/>
      <c r="Y187" s="6"/>
    </row>
    <row r="188" ht="31.5" customHeight="1">
      <c r="A188" s="118">
        <v>6.0</v>
      </c>
      <c r="B188" s="119" t="s">
        <v>309</v>
      </c>
      <c r="C188" s="120" t="s">
        <v>310</v>
      </c>
      <c r="D188" s="88"/>
      <c r="E188" s="88"/>
      <c r="F188" s="89"/>
      <c r="G188" s="121" t="s">
        <v>203</v>
      </c>
      <c r="H188" s="88"/>
      <c r="I188" s="88"/>
      <c r="J188" s="89"/>
      <c r="K188" s="134">
        <v>10.0</v>
      </c>
      <c r="L188" s="88"/>
      <c r="M188" s="88"/>
      <c r="N188" s="89"/>
      <c r="O188" s="121" t="s">
        <v>199</v>
      </c>
      <c r="P188" s="88"/>
      <c r="Q188" s="89"/>
      <c r="R188" s="122"/>
      <c r="S188" s="89"/>
      <c r="T188" s="122"/>
      <c r="U188" s="89"/>
      <c r="V188" s="122"/>
      <c r="W188" s="89"/>
      <c r="X188" s="122"/>
      <c r="Y188" s="89"/>
    </row>
    <row r="189" ht="31.5" customHeight="1">
      <c r="A189" s="123"/>
      <c r="B189" s="124"/>
      <c r="C189" s="124"/>
      <c r="D189" s="88"/>
      <c r="E189" s="88"/>
      <c r="F189" s="88"/>
      <c r="G189" s="124"/>
      <c r="H189" s="88"/>
      <c r="I189" s="88"/>
      <c r="J189" s="88"/>
      <c r="K189" s="124"/>
      <c r="L189" s="88"/>
      <c r="M189" s="88"/>
      <c r="N189" s="88"/>
      <c r="O189" s="124"/>
      <c r="P189" s="88"/>
      <c r="Q189" s="88"/>
      <c r="R189" s="124"/>
      <c r="S189" s="88"/>
      <c r="T189" s="124"/>
      <c r="U189" s="88"/>
      <c r="V189" s="124"/>
      <c r="W189" s="88"/>
      <c r="X189" s="124"/>
      <c r="Y189" s="88"/>
    </row>
    <row r="190" ht="31.5" customHeight="1"/>
    <row r="191" ht="31.5" customHeight="1"/>
    <row r="192" ht="31.5" customHeight="1"/>
    <row r="193" ht="31.5" customHeight="1"/>
    <row r="194" ht="31.5" customHeight="1"/>
    <row r="195" ht="50.25" customHeight="1">
      <c r="A195" s="126">
        <v>15.0</v>
      </c>
      <c r="B195" s="103" t="s">
        <v>134</v>
      </c>
      <c r="C195" s="104" t="str">
        <f>'Invetario de Tablas'!B18</f>
        <v>publicidad</v>
      </c>
      <c r="D195" s="105"/>
      <c r="E195" s="105"/>
      <c r="F195" s="106"/>
      <c r="G195" s="103" t="s">
        <v>135</v>
      </c>
      <c r="H195" s="32"/>
      <c r="I195" s="32"/>
      <c r="J195" s="33"/>
      <c r="K195" s="107" t="str">
        <f>'Invetario de Tablas'!C18</f>
        <v>apartado que promociona un evento, servicios y demás</v>
      </c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6"/>
      <c r="X195" s="108" t="s">
        <v>186</v>
      </c>
      <c r="Y195" s="117" t="str">
        <f>Y3</f>
        <v>1.0</v>
      </c>
    </row>
    <row r="196" ht="31.5" customHeight="1">
      <c r="A196" s="110" t="s">
        <v>1</v>
      </c>
      <c r="B196" s="111" t="s">
        <v>187</v>
      </c>
      <c r="C196" s="112" t="s">
        <v>188</v>
      </c>
      <c r="F196" s="113"/>
      <c r="G196" s="114" t="s">
        <v>370</v>
      </c>
      <c r="H196" s="88"/>
      <c r="I196" s="88"/>
      <c r="J196" s="89"/>
      <c r="K196" s="112" t="s">
        <v>190</v>
      </c>
      <c r="N196" s="113"/>
      <c r="O196" s="112" t="s">
        <v>191</v>
      </c>
      <c r="Q196" s="113"/>
      <c r="R196" s="112" t="s">
        <v>192</v>
      </c>
      <c r="S196" s="113"/>
      <c r="T196" s="112" t="s">
        <v>193</v>
      </c>
      <c r="U196" s="113"/>
      <c r="V196" s="112" t="s">
        <v>194</v>
      </c>
      <c r="W196" s="113"/>
      <c r="X196" s="114" t="s">
        <v>195</v>
      </c>
      <c r="Y196" s="115"/>
    </row>
    <row r="197" ht="31.5" customHeight="1">
      <c r="A197" s="41">
        <v>1.0</v>
      </c>
      <c r="B197" s="42" t="s">
        <v>255</v>
      </c>
      <c r="C197" s="43" t="s">
        <v>256</v>
      </c>
      <c r="D197" s="5"/>
      <c r="E197" s="5"/>
      <c r="F197" s="6"/>
      <c r="G197" s="94" t="s">
        <v>373</v>
      </c>
      <c r="H197" s="5"/>
      <c r="I197" s="5"/>
      <c r="J197" s="6"/>
      <c r="K197" s="45">
        <v>5.0</v>
      </c>
      <c r="L197" s="5"/>
      <c r="M197" s="5"/>
      <c r="N197" s="6"/>
      <c r="O197" s="45" t="s">
        <v>199</v>
      </c>
      <c r="P197" s="5"/>
      <c r="Q197" s="6"/>
      <c r="R197" s="46" t="s">
        <v>200</v>
      </c>
      <c r="S197" s="6"/>
      <c r="T197" s="47"/>
      <c r="U197" s="6"/>
      <c r="V197" s="47"/>
      <c r="W197" s="6"/>
      <c r="X197" s="47"/>
      <c r="Y197" s="6"/>
    </row>
    <row r="198" ht="31.5" customHeight="1">
      <c r="A198" s="41">
        <v>2.0</v>
      </c>
      <c r="B198" s="42" t="s">
        <v>196</v>
      </c>
      <c r="C198" s="43" t="s">
        <v>270</v>
      </c>
      <c r="D198" s="5"/>
      <c r="E198" s="5"/>
      <c r="F198" s="6"/>
      <c r="G198" s="116" t="s">
        <v>372</v>
      </c>
      <c r="H198" s="5"/>
      <c r="I198" s="5"/>
      <c r="J198" s="6"/>
      <c r="K198" s="45">
        <v>15.0</v>
      </c>
      <c r="L198" s="5"/>
      <c r="M198" s="5"/>
      <c r="N198" s="6"/>
      <c r="O198" s="45" t="s">
        <v>199</v>
      </c>
      <c r="P198" s="5"/>
      <c r="Q198" s="6"/>
      <c r="R198" s="47"/>
      <c r="S198" s="6"/>
      <c r="T198" s="46" t="s">
        <v>200</v>
      </c>
      <c r="U198" s="6"/>
      <c r="V198" s="47"/>
      <c r="W198" s="6"/>
      <c r="X198" s="47"/>
      <c r="Y198" s="6"/>
    </row>
    <row r="199" ht="31.5" customHeight="1">
      <c r="A199" s="41">
        <v>3.0</v>
      </c>
      <c r="B199" s="42" t="s">
        <v>311</v>
      </c>
      <c r="C199" s="43" t="s">
        <v>312</v>
      </c>
      <c r="D199" s="5"/>
      <c r="E199" s="5"/>
      <c r="F199" s="6"/>
      <c r="G199" s="45" t="s">
        <v>203</v>
      </c>
      <c r="H199" s="5"/>
      <c r="I199" s="5"/>
      <c r="J199" s="6"/>
      <c r="K199" s="45">
        <v>20.0</v>
      </c>
      <c r="L199" s="5"/>
      <c r="M199" s="5"/>
      <c r="N199" s="6"/>
      <c r="O199" s="45" t="s">
        <v>199</v>
      </c>
      <c r="P199" s="5"/>
      <c r="Q199" s="6"/>
      <c r="R199" s="47"/>
      <c r="S199" s="6"/>
      <c r="T199" s="47"/>
      <c r="U199" s="6"/>
      <c r="V199" s="47"/>
      <c r="W199" s="6"/>
      <c r="X199" s="47"/>
      <c r="Y199" s="6"/>
    </row>
    <row r="200" ht="31.5" customHeight="1">
      <c r="A200" s="41">
        <v>4.0</v>
      </c>
      <c r="B200" s="42" t="s">
        <v>313</v>
      </c>
      <c r="C200" s="43" t="s">
        <v>314</v>
      </c>
      <c r="D200" s="5"/>
      <c r="E200" s="5"/>
      <c r="F200" s="6"/>
      <c r="G200" s="45" t="s">
        <v>203</v>
      </c>
      <c r="H200" s="5"/>
      <c r="I200" s="5"/>
      <c r="J200" s="6"/>
      <c r="K200" s="45">
        <v>200.0</v>
      </c>
      <c r="L200" s="5"/>
      <c r="M200" s="5"/>
      <c r="N200" s="6"/>
      <c r="O200" s="45" t="s">
        <v>199</v>
      </c>
      <c r="P200" s="5"/>
      <c r="Q200" s="6"/>
      <c r="R200" s="47"/>
      <c r="S200" s="6"/>
      <c r="T200" s="47"/>
      <c r="U200" s="6"/>
      <c r="V200" s="47"/>
      <c r="W200" s="6"/>
      <c r="X200" s="47"/>
      <c r="Y200" s="6"/>
    </row>
    <row r="201" ht="31.5" customHeight="1">
      <c r="A201" s="41">
        <v>5.0</v>
      </c>
      <c r="B201" s="42" t="s">
        <v>315</v>
      </c>
      <c r="C201" s="43" t="s">
        <v>316</v>
      </c>
      <c r="D201" s="5"/>
      <c r="E201" s="5"/>
      <c r="F201" s="6"/>
      <c r="G201" s="45" t="s">
        <v>317</v>
      </c>
      <c r="H201" s="5"/>
      <c r="I201" s="5"/>
      <c r="J201" s="6"/>
      <c r="K201" s="45">
        <v>255.0</v>
      </c>
      <c r="L201" s="5"/>
      <c r="M201" s="5"/>
      <c r="N201" s="6"/>
      <c r="O201" s="45" t="s">
        <v>206</v>
      </c>
      <c r="P201" s="5"/>
      <c r="Q201" s="6"/>
      <c r="R201" s="47"/>
      <c r="S201" s="6"/>
      <c r="T201" s="47"/>
      <c r="U201" s="6"/>
      <c r="V201" s="46" t="s">
        <v>200</v>
      </c>
      <c r="W201" s="6"/>
      <c r="X201" s="47"/>
      <c r="Y201" s="6"/>
    </row>
    <row r="202" ht="31.5" customHeight="1">
      <c r="A202" s="118">
        <v>6.0</v>
      </c>
      <c r="B202" s="119" t="s">
        <v>243</v>
      </c>
      <c r="C202" s="120" t="s">
        <v>318</v>
      </c>
      <c r="D202" s="88"/>
      <c r="E202" s="88"/>
      <c r="F202" s="89"/>
      <c r="G202" s="121" t="s">
        <v>245</v>
      </c>
      <c r="H202" s="88"/>
      <c r="I202" s="88"/>
      <c r="J202" s="89"/>
      <c r="K202" s="121">
        <v>10.0</v>
      </c>
      <c r="L202" s="88"/>
      <c r="M202" s="88"/>
      <c r="N202" s="89"/>
      <c r="O202" s="121" t="s">
        <v>199</v>
      </c>
      <c r="P202" s="88"/>
      <c r="Q202" s="89"/>
      <c r="R202" s="122"/>
      <c r="S202" s="89"/>
      <c r="T202" s="122"/>
      <c r="U202" s="89"/>
      <c r="V202" s="122"/>
      <c r="W202" s="89"/>
      <c r="X202" s="122"/>
      <c r="Y202" s="89"/>
    </row>
    <row r="203" ht="31.5" customHeight="1">
      <c r="A203" s="123"/>
      <c r="B203" s="124"/>
      <c r="C203" s="124"/>
      <c r="D203" s="88"/>
      <c r="E203" s="88"/>
      <c r="F203" s="88"/>
      <c r="G203" s="124"/>
      <c r="H203" s="88"/>
      <c r="I203" s="88"/>
      <c r="J203" s="88"/>
      <c r="K203" s="124"/>
      <c r="L203" s="88"/>
      <c r="M203" s="88"/>
      <c r="N203" s="88"/>
      <c r="O203" s="124"/>
      <c r="P203" s="88"/>
      <c r="Q203" s="88"/>
      <c r="R203" s="124"/>
      <c r="S203" s="88"/>
      <c r="T203" s="124"/>
      <c r="U203" s="88"/>
      <c r="V203" s="124"/>
      <c r="W203" s="88"/>
      <c r="X203" s="124"/>
      <c r="Y203" s="88"/>
    </row>
    <row r="204" ht="31.5" customHeight="1"/>
    <row r="205" ht="31.5" customHeight="1"/>
    <row r="206" ht="31.5" customHeight="1"/>
    <row r="207" ht="31.5" customHeight="1"/>
    <row r="208" ht="31.5" customHeight="1"/>
    <row r="209" ht="60.0" customHeight="1">
      <c r="A209" s="126">
        <v>16.0</v>
      </c>
      <c r="B209" s="103" t="s">
        <v>134</v>
      </c>
      <c r="C209" s="104" t="str">
        <f>'Invetario de Tablas'!B19</f>
        <v>reaccion</v>
      </c>
      <c r="D209" s="105"/>
      <c r="E209" s="105"/>
      <c r="F209" s="106"/>
      <c r="G209" s="103" t="s">
        <v>135</v>
      </c>
      <c r="H209" s="32"/>
      <c r="I209" s="32"/>
      <c r="J209" s="33"/>
      <c r="K209" s="107" t="str">
        <f>'Invetario de Tablas'!C19</f>
        <v>muestra de que el comentario o la publicación fue recibida de buena o mala manera por los usuarios</v>
      </c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6"/>
      <c r="X209" s="108" t="s">
        <v>186</v>
      </c>
      <c r="Y209" s="117" t="str">
        <f>Y3</f>
        <v>1.0</v>
      </c>
    </row>
    <row r="210" ht="31.5" customHeight="1">
      <c r="A210" s="110" t="s">
        <v>1</v>
      </c>
      <c r="B210" s="111" t="s">
        <v>187</v>
      </c>
      <c r="C210" s="112" t="s">
        <v>188</v>
      </c>
      <c r="F210" s="113"/>
      <c r="G210" s="114" t="s">
        <v>370</v>
      </c>
      <c r="H210" s="88"/>
      <c r="I210" s="88"/>
      <c r="J210" s="89"/>
      <c r="K210" s="112" t="s">
        <v>190</v>
      </c>
      <c r="N210" s="113"/>
      <c r="O210" s="112" t="s">
        <v>191</v>
      </c>
      <c r="Q210" s="113"/>
      <c r="R210" s="112" t="s">
        <v>192</v>
      </c>
      <c r="S210" s="113"/>
      <c r="T210" s="112" t="s">
        <v>193</v>
      </c>
      <c r="U210" s="113"/>
      <c r="V210" s="112" t="s">
        <v>194</v>
      </c>
      <c r="W210" s="113"/>
      <c r="X210" s="114" t="s">
        <v>195</v>
      </c>
      <c r="Y210" s="115"/>
    </row>
    <row r="211" ht="31.5" customHeight="1">
      <c r="A211" s="41">
        <v>1.0</v>
      </c>
      <c r="B211" s="42" t="s">
        <v>319</v>
      </c>
      <c r="C211" s="43" t="s">
        <v>320</v>
      </c>
      <c r="D211" s="5"/>
      <c r="E211" s="5"/>
      <c r="F211" s="6"/>
      <c r="G211" s="94" t="s">
        <v>372</v>
      </c>
      <c r="H211" s="5"/>
      <c r="I211" s="5"/>
      <c r="J211" s="6"/>
      <c r="K211" s="45">
        <v>10.0</v>
      </c>
      <c r="L211" s="5"/>
      <c r="M211" s="5"/>
      <c r="N211" s="6"/>
      <c r="O211" s="45" t="s">
        <v>199</v>
      </c>
      <c r="P211" s="5"/>
      <c r="Q211" s="6"/>
      <c r="R211" s="47"/>
      <c r="S211" s="6"/>
      <c r="T211" s="46" t="s">
        <v>200</v>
      </c>
      <c r="U211" s="6"/>
      <c r="V211" s="47"/>
      <c r="W211" s="6"/>
      <c r="X211" s="47"/>
      <c r="Y211" s="6"/>
    </row>
    <row r="212" ht="31.5" customHeight="1">
      <c r="A212" s="41">
        <v>2.0</v>
      </c>
      <c r="B212" s="42" t="s">
        <v>196</v>
      </c>
      <c r="C212" s="43" t="s">
        <v>270</v>
      </c>
      <c r="D212" s="5"/>
      <c r="E212" s="5"/>
      <c r="F212" s="6"/>
      <c r="G212" s="94" t="s">
        <v>372</v>
      </c>
      <c r="H212" s="5"/>
      <c r="I212" s="5"/>
      <c r="J212" s="6"/>
      <c r="K212" s="45">
        <v>10.0</v>
      </c>
      <c r="L212" s="5"/>
      <c r="M212" s="5"/>
      <c r="N212" s="6"/>
      <c r="O212" s="45" t="s">
        <v>199</v>
      </c>
      <c r="P212" s="5"/>
      <c r="Q212" s="6"/>
      <c r="R212" s="47"/>
      <c r="S212" s="6"/>
      <c r="T212" s="46" t="s">
        <v>200</v>
      </c>
      <c r="U212" s="6"/>
      <c r="V212" s="47"/>
      <c r="W212" s="6"/>
      <c r="X212" s="47"/>
      <c r="Y212" s="6"/>
    </row>
    <row r="213" ht="31.5" customHeight="1">
      <c r="A213" s="118">
        <v>3.0</v>
      </c>
      <c r="B213" s="119" t="s">
        <v>321</v>
      </c>
      <c r="C213" s="120" t="s">
        <v>322</v>
      </c>
      <c r="D213" s="88"/>
      <c r="E213" s="88"/>
      <c r="F213" s="89"/>
      <c r="G213" s="134" t="s">
        <v>373</v>
      </c>
      <c r="H213" s="88"/>
      <c r="I213" s="88"/>
      <c r="J213" s="89"/>
      <c r="K213" s="121">
        <v>10.0</v>
      </c>
      <c r="L213" s="88"/>
      <c r="M213" s="88"/>
      <c r="N213" s="89"/>
      <c r="O213" s="121" t="s">
        <v>199</v>
      </c>
      <c r="P213" s="88"/>
      <c r="Q213" s="89"/>
      <c r="R213" s="133" t="s">
        <v>200</v>
      </c>
      <c r="S213" s="89"/>
      <c r="T213" s="122"/>
      <c r="U213" s="89"/>
      <c r="V213" s="122"/>
      <c r="W213" s="89"/>
      <c r="X213" s="122"/>
      <c r="Y213" s="89"/>
    </row>
    <row r="214" ht="31.5" customHeight="1">
      <c r="A214" s="123"/>
      <c r="B214" s="124"/>
      <c r="C214" s="124"/>
      <c r="D214" s="88"/>
      <c r="E214" s="88"/>
      <c r="F214" s="88"/>
      <c r="G214" s="124"/>
      <c r="H214" s="88"/>
      <c r="I214" s="88"/>
      <c r="J214" s="88"/>
      <c r="K214" s="124"/>
      <c r="L214" s="88"/>
      <c r="M214" s="88"/>
      <c r="N214" s="88"/>
      <c r="O214" s="124"/>
      <c r="P214" s="88"/>
      <c r="Q214" s="88"/>
      <c r="R214" s="124"/>
      <c r="S214" s="88"/>
      <c r="T214" s="124"/>
      <c r="U214" s="88"/>
      <c r="V214" s="124"/>
      <c r="W214" s="88"/>
      <c r="X214" s="124"/>
      <c r="Y214" s="88"/>
    </row>
    <row r="215" ht="31.5" customHeight="1">
      <c r="A215" s="61"/>
      <c r="B215" s="62"/>
      <c r="C215" s="62"/>
      <c r="G215" s="62"/>
      <c r="K215" s="62"/>
      <c r="O215" s="62"/>
      <c r="R215" s="62"/>
      <c r="T215" s="62"/>
      <c r="V215" s="62"/>
      <c r="X215" s="62"/>
    </row>
    <row r="216" ht="31.5" customHeight="1">
      <c r="A216" s="129"/>
      <c r="B216" s="62"/>
      <c r="C216" s="62"/>
      <c r="G216" s="62"/>
      <c r="K216" s="62"/>
      <c r="O216" s="62"/>
      <c r="R216" s="62"/>
      <c r="T216" s="62"/>
      <c r="V216" s="62"/>
      <c r="X216" s="62"/>
    </row>
    <row r="217" ht="31.5" customHeight="1">
      <c r="A217" s="61"/>
      <c r="B217" s="62"/>
      <c r="C217" s="62"/>
      <c r="G217" s="62"/>
      <c r="K217" s="62"/>
      <c r="O217" s="62"/>
      <c r="R217" s="62"/>
      <c r="T217" s="62"/>
      <c r="V217" s="62"/>
      <c r="X217" s="62"/>
    </row>
    <row r="218" ht="31.5" customHeight="1"/>
    <row r="219" ht="31.5" customHeight="1"/>
    <row r="220" ht="31.5" customHeight="1"/>
    <row r="221" ht="31.5" customHeight="1"/>
    <row r="222" ht="31.5" customHeight="1"/>
    <row r="223" ht="45.75" customHeight="1">
      <c r="A223" s="126">
        <v>17.0</v>
      </c>
      <c r="B223" s="103" t="s">
        <v>134</v>
      </c>
      <c r="C223" s="104" t="str">
        <f>'Invetario de Tablas'!B20</f>
        <v>notificacion</v>
      </c>
      <c r="D223" s="105"/>
      <c r="E223" s="105"/>
      <c r="F223" s="106"/>
      <c r="G223" s="103" t="s">
        <v>135</v>
      </c>
      <c r="H223" s="32"/>
      <c r="I223" s="32"/>
      <c r="J223" s="33"/>
      <c r="K223" s="107" t="str">
        <f>'Invetario de Tablas'!C20</f>
        <v>aviso sobre algun mensaje de la red social pascualina </v>
      </c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6"/>
      <c r="X223" s="108" t="s">
        <v>186</v>
      </c>
      <c r="Y223" s="117" t="str">
        <f>Y3</f>
        <v>1.0</v>
      </c>
    </row>
    <row r="224" ht="31.5" customHeight="1">
      <c r="A224" s="110" t="s">
        <v>1</v>
      </c>
      <c r="B224" s="111" t="s">
        <v>187</v>
      </c>
      <c r="C224" s="112" t="s">
        <v>188</v>
      </c>
      <c r="F224" s="113"/>
      <c r="G224" s="114" t="s">
        <v>370</v>
      </c>
      <c r="H224" s="88"/>
      <c r="I224" s="88"/>
      <c r="J224" s="89"/>
      <c r="K224" s="112" t="s">
        <v>190</v>
      </c>
      <c r="N224" s="113"/>
      <c r="O224" s="112" t="s">
        <v>191</v>
      </c>
      <c r="Q224" s="113"/>
      <c r="R224" s="112" t="s">
        <v>192</v>
      </c>
      <c r="S224" s="113"/>
      <c r="T224" s="112" t="s">
        <v>193</v>
      </c>
      <c r="U224" s="113"/>
      <c r="V224" s="112" t="s">
        <v>194</v>
      </c>
      <c r="W224" s="113"/>
      <c r="X224" s="114" t="s">
        <v>195</v>
      </c>
      <c r="Y224" s="115"/>
    </row>
    <row r="225" ht="31.5" customHeight="1">
      <c r="A225" s="127">
        <v>1.0</v>
      </c>
      <c r="B225" s="42" t="s">
        <v>323</v>
      </c>
      <c r="C225" s="43" t="s">
        <v>286</v>
      </c>
      <c r="D225" s="5"/>
      <c r="E225" s="5"/>
      <c r="F225" s="6"/>
      <c r="G225" s="94" t="s">
        <v>373</v>
      </c>
      <c r="H225" s="5"/>
      <c r="I225" s="5"/>
      <c r="J225" s="6"/>
      <c r="K225" s="45">
        <v>10.0</v>
      </c>
      <c r="L225" s="5"/>
      <c r="M225" s="5"/>
      <c r="N225" s="6"/>
      <c r="O225" s="45" t="s">
        <v>199</v>
      </c>
      <c r="P225" s="5"/>
      <c r="Q225" s="6"/>
      <c r="R225" s="46" t="s">
        <v>200</v>
      </c>
      <c r="S225" s="6"/>
      <c r="T225" s="47"/>
      <c r="U225" s="6"/>
      <c r="V225" s="47"/>
      <c r="W225" s="6"/>
      <c r="X225" s="47"/>
      <c r="Y225" s="6"/>
    </row>
    <row r="226" ht="31.5" customHeight="1">
      <c r="A226" s="127">
        <v>2.0</v>
      </c>
      <c r="B226" s="95" t="s">
        <v>324</v>
      </c>
      <c r="C226" s="43" t="s">
        <v>270</v>
      </c>
      <c r="D226" s="5"/>
      <c r="E226" s="5"/>
      <c r="F226" s="6"/>
      <c r="G226" s="94" t="s">
        <v>372</v>
      </c>
      <c r="H226" s="5"/>
      <c r="I226" s="5"/>
      <c r="J226" s="6"/>
      <c r="K226" s="45">
        <v>15.0</v>
      </c>
      <c r="L226" s="5"/>
      <c r="M226" s="5"/>
      <c r="N226" s="6"/>
      <c r="O226" s="45" t="s">
        <v>199</v>
      </c>
      <c r="P226" s="5"/>
      <c r="Q226" s="6"/>
      <c r="R226" s="47"/>
      <c r="S226" s="6"/>
      <c r="T226" s="46" t="s">
        <v>200</v>
      </c>
      <c r="U226" s="6"/>
      <c r="V226" s="47"/>
      <c r="W226" s="6"/>
      <c r="X226" s="47"/>
      <c r="Y226" s="6"/>
    </row>
    <row r="227" ht="31.5" customHeight="1">
      <c r="A227" s="127">
        <v>3.0</v>
      </c>
      <c r="B227" s="95" t="s">
        <v>325</v>
      </c>
      <c r="C227" s="43" t="s">
        <v>326</v>
      </c>
      <c r="D227" s="5"/>
      <c r="E227" s="5"/>
      <c r="F227" s="6"/>
      <c r="G227" s="94" t="s">
        <v>372</v>
      </c>
      <c r="H227" s="5"/>
      <c r="I227" s="5"/>
      <c r="J227" s="6"/>
      <c r="K227" s="45">
        <v>15.0</v>
      </c>
      <c r="L227" s="5"/>
      <c r="M227" s="5"/>
      <c r="N227" s="6"/>
      <c r="O227" s="45" t="s">
        <v>199</v>
      </c>
      <c r="P227" s="5"/>
      <c r="Q227" s="6"/>
      <c r="R227" s="47"/>
      <c r="S227" s="6"/>
      <c r="T227" s="46" t="s">
        <v>200</v>
      </c>
      <c r="U227" s="6"/>
      <c r="V227" s="47"/>
      <c r="W227" s="6"/>
      <c r="X227" s="47"/>
      <c r="Y227" s="6"/>
    </row>
    <row r="228" ht="31.5" customHeight="1">
      <c r="A228" s="127">
        <v>4.0</v>
      </c>
      <c r="B228" s="42" t="s">
        <v>327</v>
      </c>
      <c r="C228" s="43" t="s">
        <v>328</v>
      </c>
      <c r="D228" s="5"/>
      <c r="E228" s="5"/>
      <c r="F228" s="6"/>
      <c r="G228" s="45" t="s">
        <v>203</v>
      </c>
      <c r="H228" s="5"/>
      <c r="I228" s="5"/>
      <c r="J228" s="6"/>
      <c r="K228" s="45">
        <v>300.0</v>
      </c>
      <c r="L228" s="5"/>
      <c r="M228" s="5"/>
      <c r="N228" s="6"/>
      <c r="O228" s="45" t="s">
        <v>199</v>
      </c>
      <c r="P228" s="5"/>
      <c r="Q228" s="6"/>
      <c r="R228" s="47"/>
      <c r="S228" s="6"/>
      <c r="T228" s="47"/>
      <c r="U228" s="6"/>
      <c r="V228" s="47"/>
      <c r="W228" s="6"/>
      <c r="X228" s="47"/>
      <c r="Y228" s="6"/>
    </row>
    <row r="229" ht="31.5" customHeight="1">
      <c r="A229" s="128">
        <v>5.0</v>
      </c>
      <c r="B229" s="119" t="s">
        <v>329</v>
      </c>
      <c r="C229" s="120" t="s">
        <v>330</v>
      </c>
      <c r="D229" s="88"/>
      <c r="E229" s="88"/>
      <c r="F229" s="89"/>
      <c r="G229" s="121" t="s">
        <v>245</v>
      </c>
      <c r="H229" s="88"/>
      <c r="I229" s="88"/>
      <c r="J229" s="89"/>
      <c r="K229" s="121">
        <v>10.0</v>
      </c>
      <c r="L229" s="88"/>
      <c r="M229" s="88"/>
      <c r="N229" s="89"/>
      <c r="O229" s="121" t="s">
        <v>199</v>
      </c>
      <c r="P229" s="88"/>
      <c r="Q229" s="89"/>
      <c r="R229" s="122"/>
      <c r="S229" s="89"/>
      <c r="T229" s="122"/>
      <c r="U229" s="89"/>
      <c r="V229" s="122"/>
      <c r="W229" s="89"/>
      <c r="X229" s="122"/>
      <c r="Y229" s="89"/>
    </row>
    <row r="230" ht="31.5" customHeight="1">
      <c r="A230" s="130"/>
      <c r="B230" s="130"/>
      <c r="C230" s="130"/>
      <c r="D230" s="130"/>
      <c r="E230" s="130"/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  <c r="Y230" s="130"/>
    </row>
    <row r="231" ht="31.5" customHeight="1">
      <c r="A231" s="129"/>
      <c r="B231" s="129"/>
      <c r="C231" s="129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</row>
    <row r="232" ht="31.5" customHeight="1"/>
    <row r="233" ht="31.5" customHeight="1"/>
    <row r="234" ht="31.5" customHeight="1"/>
    <row r="235" ht="31.5" customHeight="1"/>
    <row r="236" ht="31.5" customHeight="1"/>
    <row r="237" ht="48.75" customHeight="1">
      <c r="A237" s="126">
        <v>18.0</v>
      </c>
      <c r="B237" s="103" t="s">
        <v>134</v>
      </c>
      <c r="C237" s="104" t="str">
        <f>'Invetario de Tablas'!B21</f>
        <v>mensaje</v>
      </c>
      <c r="D237" s="105"/>
      <c r="E237" s="105"/>
      <c r="F237" s="106"/>
      <c r="G237" s="103" t="s">
        <v>135</v>
      </c>
      <c r="H237" s="32"/>
      <c r="I237" s="32"/>
      <c r="J237" s="33"/>
      <c r="K237" s="107" t="str">
        <f>'Invetario de Tablas'!C21</f>
        <v>interacción privada entre los usuarios a través de la red social</v>
      </c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6"/>
      <c r="X237" s="108" t="s">
        <v>186</v>
      </c>
      <c r="Y237" s="117" t="str">
        <f>Y3</f>
        <v>1.0</v>
      </c>
    </row>
    <row r="238" ht="31.5" customHeight="1">
      <c r="A238" s="110" t="s">
        <v>1</v>
      </c>
      <c r="B238" s="111" t="s">
        <v>187</v>
      </c>
      <c r="C238" s="112" t="s">
        <v>188</v>
      </c>
      <c r="F238" s="113"/>
      <c r="G238" s="114" t="s">
        <v>370</v>
      </c>
      <c r="H238" s="88"/>
      <c r="I238" s="88"/>
      <c r="J238" s="89"/>
      <c r="K238" s="112" t="s">
        <v>190</v>
      </c>
      <c r="N238" s="113"/>
      <c r="O238" s="112" t="s">
        <v>191</v>
      </c>
      <c r="Q238" s="113"/>
      <c r="R238" s="112" t="s">
        <v>192</v>
      </c>
      <c r="S238" s="113"/>
      <c r="T238" s="112" t="s">
        <v>193</v>
      </c>
      <c r="U238" s="113"/>
      <c r="V238" s="112" t="s">
        <v>194</v>
      </c>
      <c r="W238" s="113"/>
      <c r="X238" s="114" t="s">
        <v>195</v>
      </c>
      <c r="Y238" s="115"/>
    </row>
    <row r="239" ht="31.5" customHeight="1">
      <c r="A239" s="127">
        <v>1.0</v>
      </c>
      <c r="B239" s="95" t="s">
        <v>375</v>
      </c>
      <c r="C239" s="43" t="s">
        <v>332</v>
      </c>
      <c r="D239" s="5"/>
      <c r="E239" s="5"/>
      <c r="F239" s="6"/>
      <c r="G239" s="94" t="s">
        <v>372</v>
      </c>
      <c r="H239" s="5"/>
      <c r="I239" s="5"/>
      <c r="J239" s="6"/>
      <c r="K239" s="45">
        <v>15.0</v>
      </c>
      <c r="L239" s="5"/>
      <c r="M239" s="5"/>
      <c r="N239" s="6"/>
      <c r="O239" s="45" t="s">
        <v>199</v>
      </c>
      <c r="P239" s="5"/>
      <c r="Q239" s="6"/>
      <c r="R239" s="47"/>
      <c r="S239" s="6"/>
      <c r="T239" s="46" t="s">
        <v>200</v>
      </c>
      <c r="U239" s="6"/>
      <c r="V239" s="47"/>
      <c r="W239" s="6"/>
      <c r="X239" s="47"/>
      <c r="Y239" s="6"/>
    </row>
    <row r="240" ht="31.5" customHeight="1">
      <c r="A240" s="127">
        <v>2.0</v>
      </c>
      <c r="B240" s="95" t="s">
        <v>376</v>
      </c>
      <c r="C240" s="43" t="s">
        <v>334</v>
      </c>
      <c r="D240" s="5"/>
      <c r="E240" s="5"/>
      <c r="F240" s="6"/>
      <c r="G240" s="94" t="s">
        <v>372</v>
      </c>
      <c r="H240" s="5"/>
      <c r="I240" s="5"/>
      <c r="J240" s="6"/>
      <c r="K240" s="45">
        <v>15.0</v>
      </c>
      <c r="L240" s="5"/>
      <c r="M240" s="5"/>
      <c r="N240" s="6"/>
      <c r="O240" s="45" t="s">
        <v>199</v>
      </c>
      <c r="P240" s="5"/>
      <c r="Q240" s="6"/>
      <c r="R240" s="47"/>
      <c r="S240" s="6"/>
      <c r="T240" s="46" t="s">
        <v>200</v>
      </c>
      <c r="U240" s="6"/>
      <c r="V240" s="47"/>
      <c r="W240" s="6"/>
      <c r="X240" s="47"/>
      <c r="Y240" s="6"/>
    </row>
    <row r="241" ht="31.5" customHeight="1">
      <c r="A241" s="127">
        <v>3.0</v>
      </c>
      <c r="B241" s="42" t="s">
        <v>335</v>
      </c>
      <c r="C241" s="43" t="s">
        <v>336</v>
      </c>
      <c r="D241" s="5"/>
      <c r="E241" s="5"/>
      <c r="F241" s="6"/>
      <c r="G241" s="45" t="s">
        <v>203</v>
      </c>
      <c r="H241" s="5"/>
      <c r="I241" s="5"/>
      <c r="J241" s="6"/>
      <c r="K241" s="45">
        <v>200.0</v>
      </c>
      <c r="L241" s="5"/>
      <c r="M241" s="5"/>
      <c r="N241" s="6"/>
      <c r="O241" s="45" t="s">
        <v>199</v>
      </c>
      <c r="P241" s="5"/>
      <c r="Q241" s="6"/>
      <c r="R241" s="47"/>
      <c r="S241" s="6"/>
      <c r="T241" s="47"/>
      <c r="U241" s="6"/>
      <c r="V241" s="47"/>
      <c r="W241" s="6"/>
      <c r="X241" s="47"/>
      <c r="Y241" s="6"/>
    </row>
    <row r="242" ht="31.5" customHeight="1">
      <c r="A242" s="127">
        <v>4.0</v>
      </c>
      <c r="B242" s="42" t="s">
        <v>337</v>
      </c>
      <c r="C242" s="43" t="s">
        <v>338</v>
      </c>
      <c r="D242" s="5"/>
      <c r="E242" s="5"/>
      <c r="F242" s="6"/>
      <c r="G242" s="94" t="s">
        <v>373</v>
      </c>
      <c r="H242" s="5"/>
      <c r="I242" s="5"/>
      <c r="J242" s="6"/>
      <c r="K242" s="45">
        <v>15.0</v>
      </c>
      <c r="L242" s="5"/>
      <c r="M242" s="5"/>
      <c r="N242" s="6"/>
      <c r="O242" s="45" t="s">
        <v>199</v>
      </c>
      <c r="P242" s="5"/>
      <c r="Q242" s="6"/>
      <c r="R242" s="46" t="s">
        <v>200</v>
      </c>
      <c r="S242" s="6"/>
      <c r="T242" s="47"/>
      <c r="U242" s="6"/>
      <c r="V242" s="47"/>
      <c r="W242" s="6"/>
      <c r="X242" s="47"/>
      <c r="Y242" s="6"/>
    </row>
    <row r="243" ht="31.5" customHeight="1">
      <c r="A243" s="128">
        <v>5.0</v>
      </c>
      <c r="B243" s="119" t="s">
        <v>339</v>
      </c>
      <c r="C243" s="120" t="s">
        <v>336</v>
      </c>
      <c r="D243" s="88"/>
      <c r="E243" s="88"/>
      <c r="F243" s="89"/>
      <c r="G243" s="121" t="s">
        <v>245</v>
      </c>
      <c r="H243" s="88"/>
      <c r="I243" s="88"/>
      <c r="J243" s="89"/>
      <c r="K243" s="121">
        <v>10.0</v>
      </c>
      <c r="L243" s="88"/>
      <c r="M243" s="88"/>
      <c r="N243" s="89"/>
      <c r="O243" s="121" t="s">
        <v>199</v>
      </c>
      <c r="P243" s="88"/>
      <c r="Q243" s="89"/>
      <c r="R243" s="122"/>
      <c r="S243" s="89"/>
      <c r="T243" s="122"/>
      <c r="U243" s="89"/>
      <c r="V243" s="122"/>
      <c r="W243" s="89"/>
      <c r="X243" s="122"/>
      <c r="Y243" s="89"/>
    </row>
    <row r="244" ht="31.5" customHeight="1">
      <c r="A244" s="130"/>
      <c r="B244" s="124"/>
      <c r="C244" s="124"/>
      <c r="D244" s="88"/>
      <c r="E244" s="88"/>
      <c r="F244" s="88"/>
      <c r="G244" s="124"/>
      <c r="H244" s="88"/>
      <c r="I244" s="88"/>
      <c r="J244" s="88"/>
      <c r="K244" s="124"/>
      <c r="L244" s="88"/>
      <c r="M244" s="88"/>
      <c r="N244" s="88"/>
      <c r="O244" s="124"/>
      <c r="P244" s="88"/>
      <c r="Q244" s="88"/>
      <c r="R244" s="124"/>
      <c r="S244" s="88"/>
      <c r="T244" s="124"/>
      <c r="U244" s="88"/>
      <c r="V244" s="124"/>
      <c r="W244" s="88"/>
      <c r="X244" s="124"/>
      <c r="Y244" s="88"/>
    </row>
    <row r="245" ht="31.5" customHeight="1">
      <c r="A245" s="61"/>
      <c r="B245" s="62"/>
      <c r="C245" s="62"/>
      <c r="G245" s="62"/>
      <c r="K245" s="62"/>
      <c r="O245" s="62"/>
      <c r="R245" s="62"/>
      <c r="T245" s="62"/>
      <c r="V245" s="62"/>
      <c r="X245" s="62"/>
    </row>
    <row r="246" ht="31.5" customHeight="1"/>
    <row r="247" ht="31.5" customHeight="1"/>
    <row r="248" ht="31.5" customHeight="1"/>
    <row r="249" ht="31.5" customHeight="1"/>
    <row r="250" ht="31.5" customHeight="1"/>
    <row r="251" ht="41.25" customHeight="1">
      <c r="A251" s="126">
        <v>19.0</v>
      </c>
      <c r="B251" s="103" t="s">
        <v>134</v>
      </c>
      <c r="C251" s="104" t="str">
        <f>'Invetario de Tablas'!B22</f>
        <v>solicitud_servicio</v>
      </c>
      <c r="D251" s="105"/>
      <c r="E251" s="105"/>
      <c r="F251" s="106"/>
      <c r="G251" s="103" t="s">
        <v>135</v>
      </c>
      <c r="H251" s="32"/>
      <c r="I251" s="32"/>
      <c r="J251" s="33"/>
      <c r="K251" s="107" t="str">
        <f>'Invetario de Tablas'!C22</f>
        <v>interaccion de un usuario de un tipo de servicio</v>
      </c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6"/>
      <c r="X251" s="108" t="s">
        <v>186</v>
      </c>
      <c r="Y251" s="117" t="str">
        <f>Y3</f>
        <v>1.0</v>
      </c>
    </row>
    <row r="252" ht="31.5" customHeight="1">
      <c r="A252" s="110" t="s">
        <v>1</v>
      </c>
      <c r="B252" s="111" t="s">
        <v>187</v>
      </c>
      <c r="C252" s="112" t="s">
        <v>188</v>
      </c>
      <c r="F252" s="113"/>
      <c r="G252" s="114" t="s">
        <v>370</v>
      </c>
      <c r="H252" s="88"/>
      <c r="I252" s="88"/>
      <c r="J252" s="89"/>
      <c r="K252" s="112" t="s">
        <v>190</v>
      </c>
      <c r="N252" s="113"/>
      <c r="O252" s="112" t="s">
        <v>191</v>
      </c>
      <c r="Q252" s="113"/>
      <c r="R252" s="112" t="s">
        <v>192</v>
      </c>
      <c r="S252" s="113"/>
      <c r="T252" s="112" t="s">
        <v>193</v>
      </c>
      <c r="U252" s="113"/>
      <c r="V252" s="112" t="s">
        <v>194</v>
      </c>
      <c r="W252" s="113"/>
      <c r="X252" s="114" t="s">
        <v>195</v>
      </c>
      <c r="Y252" s="115"/>
    </row>
    <row r="253" ht="31.5" customHeight="1">
      <c r="A253" s="127">
        <v>1.0</v>
      </c>
      <c r="B253" s="135" t="s">
        <v>340</v>
      </c>
      <c r="C253" s="43" t="s">
        <v>341</v>
      </c>
      <c r="D253" s="5"/>
      <c r="E253" s="5"/>
      <c r="F253" s="6"/>
      <c r="G253" s="94" t="s">
        <v>373</v>
      </c>
      <c r="H253" s="5"/>
      <c r="I253" s="5"/>
      <c r="J253" s="6"/>
      <c r="K253" s="45">
        <v>5.0</v>
      </c>
      <c r="L253" s="5"/>
      <c r="M253" s="5"/>
      <c r="N253" s="6"/>
      <c r="O253" s="45" t="s">
        <v>199</v>
      </c>
      <c r="P253" s="5"/>
      <c r="Q253" s="6"/>
      <c r="R253" s="46" t="s">
        <v>200</v>
      </c>
      <c r="S253" s="6"/>
      <c r="T253" s="47"/>
      <c r="U253" s="6"/>
      <c r="V253" s="47"/>
      <c r="W253" s="6"/>
      <c r="X253" s="47"/>
      <c r="Y253" s="6"/>
    </row>
    <row r="254" ht="31.5" customHeight="1">
      <c r="A254" s="127">
        <v>2.0</v>
      </c>
      <c r="B254" s="135" t="s">
        <v>196</v>
      </c>
      <c r="C254" s="43" t="s">
        <v>197</v>
      </c>
      <c r="D254" s="5"/>
      <c r="E254" s="5"/>
      <c r="F254" s="6"/>
      <c r="G254" s="94" t="s">
        <v>372</v>
      </c>
      <c r="H254" s="5"/>
      <c r="I254" s="5"/>
      <c r="J254" s="6"/>
      <c r="K254" s="45">
        <v>15.0</v>
      </c>
      <c r="L254" s="5"/>
      <c r="M254" s="5"/>
      <c r="N254" s="6"/>
      <c r="O254" s="45" t="s">
        <v>199</v>
      </c>
      <c r="P254" s="5"/>
      <c r="Q254" s="6"/>
      <c r="R254" s="47"/>
      <c r="S254" s="6"/>
      <c r="T254" s="46" t="s">
        <v>200</v>
      </c>
      <c r="U254" s="6"/>
      <c r="V254" s="47"/>
      <c r="W254" s="6"/>
      <c r="X254" s="47"/>
      <c r="Y254" s="6"/>
    </row>
    <row r="255" ht="31.5" customHeight="1">
      <c r="A255" s="127">
        <v>3.0</v>
      </c>
      <c r="B255" s="135" t="s">
        <v>342</v>
      </c>
      <c r="C255" s="43" t="s">
        <v>343</v>
      </c>
      <c r="D255" s="5"/>
      <c r="E255" s="5"/>
      <c r="F255" s="6"/>
      <c r="G255" s="45" t="s">
        <v>245</v>
      </c>
      <c r="H255" s="5"/>
      <c r="I255" s="5"/>
      <c r="J255" s="6"/>
      <c r="K255" s="45">
        <v>10.0</v>
      </c>
      <c r="L255" s="5"/>
      <c r="M255" s="5"/>
      <c r="N255" s="6"/>
      <c r="O255" s="45" t="s">
        <v>199</v>
      </c>
      <c r="P255" s="5"/>
      <c r="Q255" s="6"/>
      <c r="R255" s="47"/>
      <c r="S255" s="6"/>
      <c r="T255" s="47"/>
      <c r="U255" s="6"/>
      <c r="V255" s="47"/>
      <c r="W255" s="6"/>
      <c r="X255" s="47"/>
      <c r="Y255" s="6"/>
    </row>
    <row r="256" ht="31.5" customHeight="1">
      <c r="A256" s="127">
        <v>4.0</v>
      </c>
      <c r="B256" s="135" t="s">
        <v>344</v>
      </c>
      <c r="C256" s="43" t="s">
        <v>345</v>
      </c>
      <c r="D256" s="5"/>
      <c r="E256" s="5"/>
      <c r="F256" s="6"/>
      <c r="G256" s="45" t="s">
        <v>203</v>
      </c>
      <c r="H256" s="5"/>
      <c r="I256" s="5"/>
      <c r="J256" s="6"/>
      <c r="K256" s="45">
        <v>10.0</v>
      </c>
      <c r="L256" s="5"/>
      <c r="M256" s="5"/>
      <c r="N256" s="6"/>
      <c r="O256" s="45" t="s">
        <v>206</v>
      </c>
      <c r="P256" s="5"/>
      <c r="Q256" s="6"/>
      <c r="R256" s="47"/>
      <c r="S256" s="6"/>
      <c r="T256" s="47"/>
      <c r="U256" s="6"/>
      <c r="V256" s="47"/>
      <c r="W256" s="6"/>
      <c r="X256" s="47"/>
      <c r="Y256" s="6"/>
    </row>
    <row r="257" ht="31.5" customHeight="1">
      <c r="A257" s="128">
        <v>5.0</v>
      </c>
      <c r="B257" s="136" t="s">
        <v>346</v>
      </c>
      <c r="C257" s="120" t="s">
        <v>347</v>
      </c>
      <c r="D257" s="88"/>
      <c r="E257" s="88"/>
      <c r="F257" s="89"/>
      <c r="G257" s="134" t="s">
        <v>374</v>
      </c>
      <c r="H257" s="88"/>
      <c r="I257" s="88"/>
      <c r="J257" s="89"/>
      <c r="K257" s="121">
        <v>10.2</v>
      </c>
      <c r="L257" s="88"/>
      <c r="M257" s="88"/>
      <c r="N257" s="89"/>
      <c r="O257" s="121" t="s">
        <v>199</v>
      </c>
      <c r="P257" s="88"/>
      <c r="Q257" s="89"/>
      <c r="R257" s="122"/>
      <c r="S257" s="89"/>
      <c r="T257" s="122"/>
      <c r="U257" s="89"/>
      <c r="V257" s="122"/>
      <c r="W257" s="89"/>
      <c r="X257" s="122"/>
      <c r="Y257" s="89"/>
    </row>
    <row r="258" ht="31.5" customHeight="1">
      <c r="A258" s="130"/>
      <c r="B258" s="124"/>
      <c r="C258" s="124"/>
      <c r="D258" s="88"/>
      <c r="E258" s="88"/>
      <c r="F258" s="88"/>
      <c r="G258" s="124"/>
      <c r="H258" s="88"/>
      <c r="I258" s="88"/>
      <c r="J258" s="88"/>
      <c r="K258" s="124"/>
      <c r="L258" s="88"/>
      <c r="M258" s="88"/>
      <c r="N258" s="88"/>
      <c r="O258" s="124"/>
      <c r="P258" s="88"/>
      <c r="Q258" s="88"/>
      <c r="R258" s="124"/>
      <c r="S258" s="88"/>
      <c r="T258" s="124"/>
      <c r="U258" s="88"/>
      <c r="V258" s="124"/>
      <c r="W258" s="88"/>
      <c r="X258" s="124"/>
      <c r="Y258" s="88"/>
    </row>
    <row r="259" ht="31.5" customHeight="1">
      <c r="A259" s="61"/>
      <c r="B259" s="62"/>
      <c r="C259" s="62"/>
      <c r="G259" s="62"/>
      <c r="K259" s="62"/>
      <c r="O259" s="62"/>
      <c r="R259" s="62"/>
      <c r="T259" s="62"/>
      <c r="V259" s="62"/>
      <c r="X259" s="62"/>
    </row>
    <row r="260" ht="31.5" customHeight="1"/>
    <row r="261" ht="31.5" customHeight="1"/>
    <row r="262" ht="31.5" customHeight="1"/>
    <row r="263" ht="31.5" customHeight="1"/>
    <row r="264" ht="31.5" customHeight="1"/>
    <row r="265" ht="31.5" customHeight="1">
      <c r="A265" s="126">
        <v>20.0</v>
      </c>
      <c r="B265" s="103" t="s">
        <v>134</v>
      </c>
      <c r="C265" s="104" t="str">
        <f>'Invetario de Tablas'!B23</f>
        <v>miembro_grupo</v>
      </c>
      <c r="D265" s="105"/>
      <c r="E265" s="105"/>
      <c r="F265" s="106"/>
      <c r="G265" s="103" t="s">
        <v>135</v>
      </c>
      <c r="H265" s="32"/>
      <c r="I265" s="32"/>
      <c r="J265" s="33"/>
      <c r="K265" s="107" t="str">
        <f>'Invetario de Tablas'!C23</f>
        <v>interaccion de un usuario a un grupo</v>
      </c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6"/>
      <c r="X265" s="108" t="s">
        <v>186</v>
      </c>
      <c r="Y265" s="117" t="str">
        <f>Y3</f>
        <v>1.0</v>
      </c>
    </row>
    <row r="266" ht="31.5" customHeight="1">
      <c r="A266" s="110" t="s">
        <v>1</v>
      </c>
      <c r="B266" s="111" t="s">
        <v>187</v>
      </c>
      <c r="C266" s="112" t="s">
        <v>188</v>
      </c>
      <c r="F266" s="113"/>
      <c r="G266" s="114" t="s">
        <v>370</v>
      </c>
      <c r="H266" s="88"/>
      <c r="I266" s="88"/>
      <c r="J266" s="89"/>
      <c r="K266" s="112" t="s">
        <v>190</v>
      </c>
      <c r="N266" s="113"/>
      <c r="O266" s="112" t="s">
        <v>191</v>
      </c>
      <c r="Q266" s="113"/>
      <c r="R266" s="112" t="s">
        <v>192</v>
      </c>
      <c r="S266" s="113"/>
      <c r="T266" s="112" t="s">
        <v>193</v>
      </c>
      <c r="U266" s="113"/>
      <c r="V266" s="112" t="s">
        <v>194</v>
      </c>
      <c r="W266" s="113"/>
      <c r="X266" s="114" t="s">
        <v>195</v>
      </c>
      <c r="Y266" s="115"/>
    </row>
    <row r="267" ht="31.5" customHeight="1">
      <c r="A267" s="127">
        <v>1.0</v>
      </c>
      <c r="B267" s="135" t="s">
        <v>196</v>
      </c>
      <c r="C267" s="43" t="s">
        <v>348</v>
      </c>
      <c r="D267" s="5"/>
      <c r="E267" s="5"/>
      <c r="F267" s="6"/>
      <c r="G267" s="94" t="s">
        <v>372</v>
      </c>
      <c r="H267" s="5"/>
      <c r="I267" s="5"/>
      <c r="J267" s="6"/>
      <c r="K267" s="45">
        <v>15.0</v>
      </c>
      <c r="L267" s="5"/>
      <c r="M267" s="5"/>
      <c r="N267" s="6"/>
      <c r="O267" s="45" t="s">
        <v>199</v>
      </c>
      <c r="P267" s="5"/>
      <c r="Q267" s="6"/>
      <c r="R267" s="47"/>
      <c r="S267" s="6"/>
      <c r="T267" s="46" t="s">
        <v>200</v>
      </c>
      <c r="U267" s="6"/>
      <c r="V267" s="47"/>
      <c r="W267" s="6"/>
      <c r="X267" s="47"/>
      <c r="Y267" s="6"/>
    </row>
    <row r="268" ht="31.5" customHeight="1">
      <c r="A268" s="127">
        <v>2.0</v>
      </c>
      <c r="B268" s="135" t="s">
        <v>257</v>
      </c>
      <c r="C268" s="43" t="s">
        <v>269</v>
      </c>
      <c r="D268" s="5"/>
      <c r="E268" s="5"/>
      <c r="F268" s="6"/>
      <c r="G268" s="94" t="s">
        <v>372</v>
      </c>
      <c r="H268" s="5"/>
      <c r="I268" s="5"/>
      <c r="J268" s="6"/>
      <c r="K268" s="45">
        <v>5.0</v>
      </c>
      <c r="L268" s="5"/>
      <c r="M268" s="5"/>
      <c r="N268" s="6"/>
      <c r="O268" s="45" t="s">
        <v>199</v>
      </c>
      <c r="P268" s="5"/>
      <c r="Q268" s="6"/>
      <c r="R268" s="47"/>
      <c r="S268" s="6"/>
      <c r="T268" s="46" t="s">
        <v>200</v>
      </c>
      <c r="U268" s="6"/>
      <c r="V268" s="47"/>
      <c r="W268" s="6"/>
      <c r="X268" s="47"/>
      <c r="Y268" s="6"/>
    </row>
    <row r="269" ht="31.5" customHeight="1">
      <c r="A269" s="128">
        <v>3.0</v>
      </c>
      <c r="B269" s="136" t="s">
        <v>349</v>
      </c>
      <c r="C269" s="120" t="s">
        <v>350</v>
      </c>
      <c r="D269" s="88"/>
      <c r="E269" s="88"/>
      <c r="F269" s="89"/>
      <c r="G269" s="121" t="s">
        <v>245</v>
      </c>
      <c r="H269" s="88"/>
      <c r="I269" s="88"/>
      <c r="J269" s="89"/>
      <c r="K269" s="121">
        <v>10.0</v>
      </c>
      <c r="L269" s="88"/>
      <c r="M269" s="88"/>
      <c r="N269" s="89"/>
      <c r="O269" s="121" t="s">
        <v>199</v>
      </c>
      <c r="P269" s="88"/>
      <c r="Q269" s="89"/>
      <c r="R269" s="122"/>
      <c r="S269" s="89"/>
      <c r="T269" s="122"/>
      <c r="U269" s="89"/>
      <c r="V269" s="122"/>
      <c r="W269" s="89"/>
      <c r="X269" s="122"/>
      <c r="Y269" s="89"/>
    </row>
    <row r="270" ht="31.5" customHeight="1">
      <c r="A270" s="123"/>
      <c r="B270" s="124"/>
      <c r="C270" s="124"/>
      <c r="D270" s="88"/>
      <c r="E270" s="88"/>
      <c r="F270" s="88"/>
      <c r="G270" s="124"/>
      <c r="H270" s="88"/>
      <c r="I270" s="88"/>
      <c r="J270" s="88"/>
      <c r="K270" s="124"/>
      <c r="L270" s="88"/>
      <c r="M270" s="88"/>
      <c r="N270" s="88"/>
      <c r="O270" s="124"/>
      <c r="P270" s="88"/>
      <c r="Q270" s="88"/>
      <c r="R270" s="124"/>
      <c r="S270" s="88"/>
      <c r="T270" s="124"/>
      <c r="U270" s="88"/>
      <c r="V270" s="124"/>
      <c r="W270" s="88"/>
      <c r="X270" s="124"/>
      <c r="Y270" s="88"/>
    </row>
    <row r="271" ht="31.5" customHeight="1">
      <c r="A271" s="61"/>
      <c r="B271" s="62"/>
      <c r="C271" s="62"/>
      <c r="G271" s="62"/>
      <c r="K271" s="62"/>
      <c r="O271" s="62"/>
      <c r="R271" s="62"/>
      <c r="T271" s="62"/>
      <c r="V271" s="62"/>
      <c r="X271" s="62"/>
    </row>
    <row r="272" ht="31.5" customHeight="1">
      <c r="A272" s="129"/>
      <c r="B272" s="62"/>
      <c r="C272" s="62"/>
      <c r="G272" s="62"/>
      <c r="K272" s="62"/>
      <c r="O272" s="62"/>
      <c r="R272" s="62"/>
      <c r="T272" s="62"/>
      <c r="V272" s="62"/>
      <c r="X272" s="62"/>
    </row>
    <row r="273" ht="31.5" customHeight="1">
      <c r="A273" s="61"/>
      <c r="B273" s="62"/>
      <c r="C273" s="62"/>
      <c r="G273" s="62"/>
      <c r="K273" s="62"/>
      <c r="O273" s="62"/>
      <c r="R273" s="62"/>
      <c r="T273" s="62"/>
      <c r="V273" s="62"/>
      <c r="X273" s="62"/>
    </row>
    <row r="274" ht="31.5" customHeight="1"/>
    <row r="275" ht="31.5" customHeight="1"/>
    <row r="276" ht="31.5" customHeight="1"/>
    <row r="277" ht="31.5" customHeight="1"/>
    <row r="278" ht="31.5" customHeight="1"/>
    <row r="279" ht="31.5" customHeight="1">
      <c r="A279" s="126">
        <v>21.0</v>
      </c>
      <c r="B279" s="103" t="s">
        <v>134</v>
      </c>
      <c r="C279" s="104" t="str">
        <f>'Invetario de Tablas'!B24</f>
        <v>inscripcion_evento</v>
      </c>
      <c r="D279" s="105"/>
      <c r="E279" s="105"/>
      <c r="F279" s="106"/>
      <c r="G279" s="103" t="s">
        <v>135</v>
      </c>
      <c r="H279" s="32"/>
      <c r="I279" s="32"/>
      <c r="J279" s="33"/>
      <c r="K279" s="107" t="str">
        <f>'Invetario de Tablas'!C24</f>
        <v>interaccion de un usuario a un evento</v>
      </c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6"/>
      <c r="X279" s="108" t="s">
        <v>186</v>
      </c>
      <c r="Y279" s="117" t="str">
        <f>Y3</f>
        <v>1.0</v>
      </c>
    </row>
    <row r="280" ht="31.5" customHeight="1">
      <c r="A280" s="110" t="s">
        <v>1</v>
      </c>
      <c r="B280" s="111" t="s">
        <v>187</v>
      </c>
      <c r="C280" s="112" t="s">
        <v>188</v>
      </c>
      <c r="F280" s="113"/>
      <c r="G280" s="114" t="s">
        <v>370</v>
      </c>
      <c r="H280" s="88"/>
      <c r="I280" s="88"/>
      <c r="J280" s="89"/>
      <c r="K280" s="112" t="s">
        <v>190</v>
      </c>
      <c r="N280" s="113"/>
      <c r="O280" s="112" t="s">
        <v>191</v>
      </c>
      <c r="Q280" s="113"/>
      <c r="R280" s="112" t="s">
        <v>192</v>
      </c>
      <c r="S280" s="113"/>
      <c r="T280" s="112" t="s">
        <v>193</v>
      </c>
      <c r="U280" s="113"/>
      <c r="V280" s="112" t="s">
        <v>194</v>
      </c>
      <c r="W280" s="113"/>
      <c r="X280" s="114" t="s">
        <v>195</v>
      </c>
      <c r="Y280" s="115"/>
    </row>
    <row r="281" ht="31.5" customHeight="1">
      <c r="A281" s="127">
        <v>1.0</v>
      </c>
      <c r="B281" s="135" t="s">
        <v>196</v>
      </c>
      <c r="C281" s="43" t="s">
        <v>351</v>
      </c>
      <c r="D281" s="5"/>
      <c r="E281" s="5"/>
      <c r="F281" s="6"/>
      <c r="G281" s="94" t="s">
        <v>372</v>
      </c>
      <c r="H281" s="5"/>
      <c r="I281" s="5"/>
      <c r="J281" s="6"/>
      <c r="K281" s="45">
        <v>15.0</v>
      </c>
      <c r="L281" s="5"/>
      <c r="M281" s="5"/>
      <c r="N281" s="6"/>
      <c r="O281" s="45" t="s">
        <v>199</v>
      </c>
      <c r="P281" s="5"/>
      <c r="Q281" s="6"/>
      <c r="R281" s="47"/>
      <c r="S281" s="6"/>
      <c r="T281" s="46" t="s">
        <v>200</v>
      </c>
      <c r="U281" s="6"/>
      <c r="V281" s="47"/>
      <c r="W281" s="6"/>
      <c r="X281" s="47"/>
      <c r="Y281" s="6"/>
    </row>
    <row r="282" ht="31.5" customHeight="1">
      <c r="A282" s="127">
        <v>2.0</v>
      </c>
      <c r="B282" s="135" t="s">
        <v>298</v>
      </c>
      <c r="C282" s="43" t="s">
        <v>352</v>
      </c>
      <c r="D282" s="5"/>
      <c r="E282" s="5"/>
      <c r="F282" s="6"/>
      <c r="G282" s="94" t="s">
        <v>372</v>
      </c>
      <c r="H282" s="5"/>
      <c r="I282" s="5"/>
      <c r="J282" s="6"/>
      <c r="K282" s="45">
        <v>5.0</v>
      </c>
      <c r="L282" s="5"/>
      <c r="M282" s="5"/>
      <c r="N282" s="6"/>
      <c r="O282" s="45" t="s">
        <v>199</v>
      </c>
      <c r="P282" s="5"/>
      <c r="Q282" s="6"/>
      <c r="R282" s="47"/>
      <c r="S282" s="6"/>
      <c r="T282" s="46" t="s">
        <v>200</v>
      </c>
      <c r="U282" s="6"/>
      <c r="V282" s="47"/>
      <c r="W282" s="6"/>
      <c r="X282" s="47"/>
      <c r="Y282" s="6"/>
    </row>
    <row r="283" ht="31.5" customHeight="1">
      <c r="A283" s="128">
        <v>3.0</v>
      </c>
      <c r="B283" s="136" t="s">
        <v>353</v>
      </c>
      <c r="C283" s="120" t="s">
        <v>354</v>
      </c>
      <c r="D283" s="88"/>
      <c r="E283" s="88"/>
      <c r="F283" s="89"/>
      <c r="G283" s="121" t="s">
        <v>245</v>
      </c>
      <c r="H283" s="88"/>
      <c r="I283" s="88"/>
      <c r="J283" s="89"/>
      <c r="K283" s="121">
        <v>10.0</v>
      </c>
      <c r="L283" s="88"/>
      <c r="M283" s="88"/>
      <c r="N283" s="89"/>
      <c r="O283" s="121" t="s">
        <v>199</v>
      </c>
      <c r="P283" s="88"/>
      <c r="Q283" s="89"/>
      <c r="R283" s="122"/>
      <c r="S283" s="89"/>
      <c r="T283" s="122"/>
      <c r="U283" s="89"/>
      <c r="V283" s="122"/>
      <c r="W283" s="89"/>
      <c r="X283" s="122"/>
      <c r="Y283" s="89"/>
    </row>
    <row r="284" ht="31.5" customHeight="1">
      <c r="A284" s="123"/>
      <c r="B284" s="124"/>
      <c r="C284" s="124"/>
      <c r="D284" s="88"/>
      <c r="E284" s="88"/>
      <c r="F284" s="88"/>
      <c r="G284" s="124"/>
      <c r="H284" s="88"/>
      <c r="I284" s="88"/>
      <c r="J284" s="88"/>
      <c r="K284" s="124"/>
      <c r="L284" s="88"/>
      <c r="M284" s="88"/>
      <c r="N284" s="88"/>
      <c r="O284" s="124"/>
      <c r="P284" s="88"/>
      <c r="Q284" s="88"/>
      <c r="R284" s="124"/>
      <c r="S284" s="88"/>
      <c r="T284" s="124"/>
      <c r="U284" s="88"/>
      <c r="V284" s="124"/>
      <c r="W284" s="88"/>
      <c r="X284" s="124"/>
      <c r="Y284" s="88"/>
    </row>
    <row r="285" ht="31.5" customHeight="1">
      <c r="A285" s="61"/>
      <c r="B285" s="62"/>
      <c r="C285" s="62"/>
      <c r="G285" s="62"/>
      <c r="K285" s="62"/>
      <c r="O285" s="62"/>
      <c r="R285" s="62"/>
      <c r="T285" s="62"/>
      <c r="V285" s="62"/>
      <c r="X285" s="62"/>
    </row>
    <row r="286" ht="31.5" customHeight="1">
      <c r="A286" s="129"/>
      <c r="B286" s="62"/>
      <c r="C286" s="62"/>
      <c r="G286" s="62"/>
      <c r="K286" s="62"/>
      <c r="O286" s="62"/>
      <c r="R286" s="62"/>
      <c r="T286" s="62"/>
      <c r="V286" s="62"/>
      <c r="X286" s="62"/>
    </row>
    <row r="287" ht="31.5" customHeight="1">
      <c r="A287" s="61"/>
      <c r="B287" s="62"/>
      <c r="C287" s="62"/>
      <c r="G287" s="62"/>
      <c r="K287" s="62"/>
      <c r="O287" s="62"/>
      <c r="R287" s="62"/>
      <c r="T287" s="62"/>
      <c r="V287" s="62"/>
      <c r="X287" s="62"/>
    </row>
    <row r="288" ht="31.5" customHeight="1"/>
    <row r="289" ht="31.5" customHeight="1"/>
    <row r="290" ht="31.5" customHeight="1"/>
    <row r="291" ht="31.5" customHeight="1"/>
    <row r="292" ht="31.5" customHeight="1"/>
    <row r="293" ht="48.0" customHeight="1">
      <c r="A293" s="126">
        <v>22.0</v>
      </c>
      <c r="B293" s="103" t="s">
        <v>134</v>
      </c>
      <c r="C293" s="104" t="str">
        <f>'Invetario de Tablas'!B25</f>
        <v>reaccion_comentario</v>
      </c>
      <c r="D293" s="105"/>
      <c r="E293" s="105"/>
      <c r="F293" s="106"/>
      <c r="G293" s="103" t="s">
        <v>135</v>
      </c>
      <c r="H293" s="32"/>
      <c r="I293" s="32"/>
      <c r="J293" s="33"/>
      <c r="K293" s="107" t="str">
        <f>'Invetario de Tablas'!C25</f>
        <v>Cantidad de reacciones que recibe un comentario</v>
      </c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6"/>
      <c r="X293" s="108" t="s">
        <v>186</v>
      </c>
      <c r="Y293" s="117" t="str">
        <f>Y3</f>
        <v>1.0</v>
      </c>
    </row>
    <row r="294" ht="31.5" customHeight="1">
      <c r="A294" s="110" t="s">
        <v>1</v>
      </c>
      <c r="B294" s="111" t="s">
        <v>187</v>
      </c>
      <c r="C294" s="112" t="s">
        <v>188</v>
      </c>
      <c r="F294" s="113"/>
      <c r="G294" s="114" t="s">
        <v>370</v>
      </c>
      <c r="H294" s="88"/>
      <c r="I294" s="88"/>
      <c r="J294" s="89"/>
      <c r="K294" s="112" t="s">
        <v>190</v>
      </c>
      <c r="N294" s="113"/>
      <c r="O294" s="112" t="s">
        <v>191</v>
      </c>
      <c r="Q294" s="113"/>
      <c r="R294" s="112" t="s">
        <v>192</v>
      </c>
      <c r="S294" s="113"/>
      <c r="T294" s="112" t="s">
        <v>193</v>
      </c>
      <c r="U294" s="113"/>
      <c r="V294" s="112" t="s">
        <v>194</v>
      </c>
      <c r="W294" s="113"/>
      <c r="X294" s="114" t="s">
        <v>195</v>
      </c>
      <c r="Y294" s="115"/>
    </row>
    <row r="295" ht="31.5" customHeight="1">
      <c r="A295" s="127">
        <v>1.0</v>
      </c>
      <c r="B295" s="135" t="s">
        <v>196</v>
      </c>
      <c r="C295" s="43" t="s">
        <v>355</v>
      </c>
      <c r="D295" s="5"/>
      <c r="E295" s="5"/>
      <c r="F295" s="6"/>
      <c r="G295" s="94" t="s">
        <v>372</v>
      </c>
      <c r="H295" s="5"/>
      <c r="I295" s="5"/>
      <c r="J295" s="6"/>
      <c r="K295" s="45">
        <v>15.0</v>
      </c>
      <c r="L295" s="5"/>
      <c r="M295" s="5"/>
      <c r="N295" s="6"/>
      <c r="O295" s="45" t="s">
        <v>199</v>
      </c>
      <c r="P295" s="5"/>
      <c r="Q295" s="6"/>
      <c r="R295" s="47"/>
      <c r="S295" s="6"/>
      <c r="T295" s="46" t="s">
        <v>200</v>
      </c>
      <c r="U295" s="6"/>
      <c r="V295" s="47"/>
      <c r="W295" s="6"/>
      <c r="X295" s="47"/>
      <c r="Y295" s="6"/>
    </row>
    <row r="296" ht="31.5" customHeight="1">
      <c r="A296" s="127">
        <v>2.0</v>
      </c>
      <c r="B296" s="135" t="s">
        <v>356</v>
      </c>
      <c r="C296" s="43" t="s">
        <v>357</v>
      </c>
      <c r="D296" s="5"/>
      <c r="E296" s="5"/>
      <c r="F296" s="6"/>
      <c r="G296" s="94" t="s">
        <v>373</v>
      </c>
      <c r="H296" s="5"/>
      <c r="I296" s="5"/>
      <c r="J296" s="6"/>
      <c r="K296" s="45">
        <v>20.0</v>
      </c>
      <c r="L296" s="5"/>
      <c r="M296" s="5"/>
      <c r="N296" s="6"/>
      <c r="O296" s="45" t="s">
        <v>199</v>
      </c>
      <c r="P296" s="5"/>
      <c r="Q296" s="6"/>
      <c r="R296" s="46" t="s">
        <v>200</v>
      </c>
      <c r="S296" s="6"/>
      <c r="T296" s="47"/>
      <c r="U296" s="6"/>
      <c r="V296" s="47"/>
      <c r="W296" s="6"/>
      <c r="X296" s="47"/>
      <c r="Y296" s="6"/>
    </row>
    <row r="297" ht="31.5" customHeight="1">
      <c r="A297" s="127">
        <v>3.0</v>
      </c>
      <c r="B297" s="135" t="s">
        <v>246</v>
      </c>
      <c r="C297" s="43" t="s">
        <v>358</v>
      </c>
      <c r="D297" s="5"/>
      <c r="E297" s="5"/>
      <c r="F297" s="6"/>
      <c r="G297" s="94" t="s">
        <v>372</v>
      </c>
      <c r="H297" s="5"/>
      <c r="I297" s="5"/>
      <c r="J297" s="6"/>
      <c r="K297" s="45">
        <v>20.0</v>
      </c>
      <c r="L297" s="5"/>
      <c r="M297" s="5"/>
      <c r="N297" s="6"/>
      <c r="O297" s="45" t="s">
        <v>199</v>
      </c>
      <c r="P297" s="5"/>
      <c r="Q297" s="6"/>
      <c r="R297" s="47"/>
      <c r="S297" s="6"/>
      <c r="T297" s="46" t="s">
        <v>200</v>
      </c>
      <c r="U297" s="6"/>
      <c r="V297" s="47"/>
      <c r="W297" s="6"/>
      <c r="X297" s="47"/>
      <c r="Y297" s="6"/>
    </row>
    <row r="298" ht="31.5" customHeight="1">
      <c r="A298" s="127">
        <v>4.0</v>
      </c>
      <c r="B298" s="135" t="s">
        <v>359</v>
      </c>
      <c r="C298" s="43" t="s">
        <v>360</v>
      </c>
      <c r="D298" s="5"/>
      <c r="E298" s="5"/>
      <c r="F298" s="6"/>
      <c r="G298" s="45" t="s">
        <v>203</v>
      </c>
      <c r="H298" s="5"/>
      <c r="I298" s="5"/>
      <c r="J298" s="6"/>
      <c r="K298" s="45">
        <v>200.0</v>
      </c>
      <c r="L298" s="5"/>
      <c r="M298" s="5"/>
      <c r="N298" s="6"/>
      <c r="O298" s="45" t="s">
        <v>199</v>
      </c>
      <c r="P298" s="5"/>
      <c r="Q298" s="6"/>
      <c r="R298" s="47"/>
      <c r="S298" s="6"/>
      <c r="T298" s="47"/>
      <c r="U298" s="6"/>
      <c r="V298" s="47"/>
      <c r="W298" s="6"/>
      <c r="X298" s="47"/>
      <c r="Y298" s="6"/>
    </row>
    <row r="299" ht="31.5" customHeight="1">
      <c r="A299" s="128">
        <v>5.0</v>
      </c>
      <c r="B299" s="136" t="s">
        <v>361</v>
      </c>
      <c r="C299" s="120" t="s">
        <v>362</v>
      </c>
      <c r="D299" s="88"/>
      <c r="E299" s="88"/>
      <c r="F299" s="89"/>
      <c r="G299" s="121" t="s">
        <v>245</v>
      </c>
      <c r="H299" s="88"/>
      <c r="I299" s="88"/>
      <c r="J299" s="89"/>
      <c r="K299" s="121">
        <v>10.0</v>
      </c>
      <c r="L299" s="88"/>
      <c r="M299" s="88"/>
      <c r="N299" s="89"/>
      <c r="O299" s="121" t="s">
        <v>199</v>
      </c>
      <c r="P299" s="88"/>
      <c r="Q299" s="89"/>
      <c r="R299" s="122"/>
      <c r="S299" s="89"/>
      <c r="T299" s="122"/>
      <c r="U299" s="89"/>
      <c r="V299" s="122"/>
      <c r="W299" s="89"/>
      <c r="X299" s="122"/>
      <c r="Y299" s="89"/>
    </row>
    <row r="300" ht="31.5" customHeight="1">
      <c r="A300" s="130"/>
      <c r="B300" s="124"/>
      <c r="C300" s="124"/>
      <c r="D300" s="88"/>
      <c r="E300" s="88"/>
      <c r="F300" s="88"/>
      <c r="G300" s="124"/>
      <c r="H300" s="88"/>
      <c r="I300" s="88"/>
      <c r="J300" s="88"/>
      <c r="K300" s="124"/>
      <c r="L300" s="88"/>
      <c r="M300" s="88"/>
      <c r="N300" s="88"/>
      <c r="O300" s="124"/>
      <c r="P300" s="88"/>
      <c r="Q300" s="88"/>
      <c r="R300" s="124"/>
      <c r="S300" s="88"/>
      <c r="T300" s="124"/>
      <c r="U300" s="88"/>
      <c r="V300" s="124"/>
      <c r="W300" s="88"/>
      <c r="X300" s="124"/>
      <c r="Y300" s="88"/>
    </row>
    <row r="301" ht="31.5" customHeight="1">
      <c r="A301" s="61"/>
      <c r="B301" s="62"/>
      <c r="C301" s="62"/>
      <c r="G301" s="62"/>
      <c r="K301" s="62"/>
      <c r="O301" s="62"/>
      <c r="R301" s="62"/>
      <c r="T301" s="62"/>
      <c r="V301" s="62"/>
      <c r="X301" s="62"/>
    </row>
    <row r="302" ht="31.5" customHeight="1"/>
    <row r="303" ht="31.5" customHeight="1"/>
    <row r="304" ht="31.5" customHeight="1"/>
    <row r="305" ht="31.5" customHeight="1"/>
    <row r="306" ht="31.5" customHeight="1"/>
    <row r="307" ht="62.25" customHeight="1">
      <c r="A307" s="126">
        <v>23.0</v>
      </c>
      <c r="B307" s="103" t="s">
        <v>134</v>
      </c>
      <c r="C307" s="104" t="str">
        <f>'Invetario de Tablas'!B26</f>
        <v>tipo_usuario_usuario</v>
      </c>
      <c r="D307" s="105"/>
      <c r="E307" s="105"/>
      <c r="F307" s="106"/>
      <c r="G307" s="103" t="s">
        <v>135</v>
      </c>
      <c r="H307" s="32"/>
      <c r="I307" s="32"/>
      <c r="J307" s="33"/>
      <c r="K307" s="107" t="str">
        <f>'Invetario de Tablas'!C26</f>
        <v>nace de la relacion usuario a un tipo de usuario</v>
      </c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6"/>
      <c r="X307" s="108" t="s">
        <v>186</v>
      </c>
      <c r="Y307" s="117" t="str">
        <f>Y3</f>
        <v>1.0</v>
      </c>
    </row>
    <row r="308" ht="31.5" customHeight="1">
      <c r="A308" s="110" t="s">
        <v>1</v>
      </c>
      <c r="B308" s="111" t="s">
        <v>187</v>
      </c>
      <c r="C308" s="112" t="s">
        <v>188</v>
      </c>
      <c r="F308" s="113"/>
      <c r="G308" s="114" t="s">
        <v>370</v>
      </c>
      <c r="H308" s="88"/>
      <c r="I308" s="88"/>
      <c r="J308" s="89"/>
      <c r="K308" s="112" t="s">
        <v>190</v>
      </c>
      <c r="N308" s="113"/>
      <c r="O308" s="112" t="s">
        <v>191</v>
      </c>
      <c r="Q308" s="113"/>
      <c r="R308" s="112" t="s">
        <v>192</v>
      </c>
      <c r="S308" s="113"/>
      <c r="T308" s="112" t="s">
        <v>193</v>
      </c>
      <c r="U308" s="113"/>
      <c r="V308" s="112" t="s">
        <v>194</v>
      </c>
      <c r="W308" s="113"/>
      <c r="X308" s="114" t="s">
        <v>195</v>
      </c>
      <c r="Y308" s="115"/>
    </row>
    <row r="309" ht="31.5" customHeight="1">
      <c r="A309" s="127">
        <v>1.0</v>
      </c>
      <c r="B309" s="135" t="s">
        <v>226</v>
      </c>
      <c r="C309" s="43" t="s">
        <v>341</v>
      </c>
      <c r="D309" s="5"/>
      <c r="E309" s="5"/>
      <c r="F309" s="6"/>
      <c r="G309" s="94" t="s">
        <v>372</v>
      </c>
      <c r="H309" s="5"/>
      <c r="I309" s="5"/>
      <c r="J309" s="6"/>
      <c r="K309" s="45">
        <v>5.0</v>
      </c>
      <c r="L309" s="5"/>
      <c r="M309" s="5"/>
      <c r="N309" s="6"/>
      <c r="O309" s="45" t="s">
        <v>199</v>
      </c>
      <c r="P309" s="5"/>
      <c r="Q309" s="6"/>
      <c r="R309" s="47"/>
      <c r="S309" s="6"/>
      <c r="T309" s="46" t="s">
        <v>200</v>
      </c>
      <c r="U309" s="6"/>
      <c r="V309" s="47"/>
      <c r="W309" s="6"/>
      <c r="X309" s="47"/>
      <c r="Y309" s="6"/>
    </row>
    <row r="310" ht="31.5" customHeight="1">
      <c r="A310" s="127">
        <v>2.0</v>
      </c>
      <c r="B310" s="135" t="s">
        <v>196</v>
      </c>
      <c r="C310" s="43" t="s">
        <v>197</v>
      </c>
      <c r="D310" s="5"/>
      <c r="E310" s="5"/>
      <c r="F310" s="6"/>
      <c r="G310" s="94" t="s">
        <v>372</v>
      </c>
      <c r="H310" s="5"/>
      <c r="I310" s="5"/>
      <c r="J310" s="6"/>
      <c r="K310" s="45">
        <v>15.0</v>
      </c>
      <c r="L310" s="5"/>
      <c r="M310" s="5"/>
      <c r="N310" s="6"/>
      <c r="O310" s="45" t="s">
        <v>199</v>
      </c>
      <c r="P310" s="5"/>
      <c r="Q310" s="6"/>
      <c r="R310" s="47"/>
      <c r="S310" s="6"/>
      <c r="T310" s="46" t="s">
        <v>200</v>
      </c>
      <c r="U310" s="6"/>
      <c r="V310" s="47"/>
      <c r="W310" s="6"/>
      <c r="X310" s="47"/>
      <c r="Y310" s="6"/>
    </row>
    <row r="311" ht="31.5" customHeight="1">
      <c r="A311" s="128">
        <v>3.0</v>
      </c>
      <c r="B311" s="136" t="s">
        <v>363</v>
      </c>
      <c r="C311" s="120" t="s">
        <v>364</v>
      </c>
      <c r="D311" s="88"/>
      <c r="E311" s="88"/>
      <c r="F311" s="89"/>
      <c r="G311" s="121" t="s">
        <v>245</v>
      </c>
      <c r="H311" s="88"/>
      <c r="I311" s="88"/>
      <c r="J311" s="89"/>
      <c r="K311" s="121">
        <v>10.0</v>
      </c>
      <c r="L311" s="88"/>
      <c r="M311" s="88"/>
      <c r="N311" s="89"/>
      <c r="O311" s="121" t="s">
        <v>199</v>
      </c>
      <c r="P311" s="88"/>
      <c r="Q311" s="89"/>
      <c r="R311" s="122"/>
      <c r="S311" s="89"/>
      <c r="T311" s="122"/>
      <c r="U311" s="89"/>
      <c r="V311" s="122"/>
      <c r="W311" s="89"/>
      <c r="X311" s="122"/>
      <c r="Y311" s="89"/>
    </row>
    <row r="312" ht="31.5" customHeight="1">
      <c r="A312" s="123"/>
      <c r="B312" s="124"/>
      <c r="C312" s="124"/>
      <c r="D312" s="88"/>
      <c r="E312" s="88"/>
      <c r="F312" s="88"/>
      <c r="G312" s="124"/>
      <c r="H312" s="88"/>
      <c r="I312" s="88"/>
      <c r="J312" s="88"/>
      <c r="K312" s="124"/>
      <c r="L312" s="88"/>
      <c r="M312" s="88"/>
      <c r="N312" s="88"/>
      <c r="O312" s="124"/>
      <c r="P312" s="88"/>
      <c r="Q312" s="88"/>
      <c r="R312" s="124"/>
      <c r="S312" s="88"/>
      <c r="T312" s="124"/>
      <c r="U312" s="88"/>
      <c r="V312" s="124"/>
      <c r="W312" s="88"/>
      <c r="X312" s="124"/>
      <c r="Y312" s="88"/>
    </row>
    <row r="313" ht="31.5" customHeight="1">
      <c r="A313" s="61"/>
      <c r="B313" s="62"/>
      <c r="C313" s="62"/>
      <c r="G313" s="62"/>
      <c r="K313" s="62"/>
      <c r="O313" s="62"/>
      <c r="R313" s="62"/>
      <c r="T313" s="62"/>
      <c r="V313" s="62"/>
      <c r="X313" s="62"/>
    </row>
    <row r="314" ht="31.5" customHeight="1">
      <c r="A314" s="129"/>
      <c r="B314" s="62"/>
      <c r="C314" s="62"/>
      <c r="G314" s="62"/>
      <c r="K314" s="62"/>
      <c r="O314" s="62"/>
      <c r="R314" s="62"/>
      <c r="T314" s="62"/>
      <c r="V314" s="62"/>
      <c r="X314" s="62"/>
    </row>
    <row r="315" ht="31.5" customHeight="1">
      <c r="A315" s="61"/>
      <c r="B315" s="62"/>
      <c r="C315" s="62"/>
      <c r="G315" s="62"/>
      <c r="K315" s="62"/>
      <c r="O315" s="62"/>
      <c r="R315" s="62"/>
      <c r="T315" s="62"/>
      <c r="V315" s="62"/>
      <c r="X315" s="62"/>
    </row>
    <row r="316" ht="31.5" customHeight="1"/>
    <row r="317" ht="31.5" customHeight="1"/>
    <row r="318" ht="31.5" customHeight="1"/>
    <row r="319" ht="31.5" customHeight="1"/>
    <row r="320" ht="31.5" customHeight="1"/>
    <row r="321" ht="31.5" customHeight="1">
      <c r="A321" s="126">
        <v>24.0</v>
      </c>
      <c r="B321" s="103" t="s">
        <v>134</v>
      </c>
      <c r="C321" s="104" t="str">
        <f>'Invetario de Tablas'!B27</f>
        <v>publicidad_reaccion</v>
      </c>
      <c r="D321" s="105"/>
      <c r="E321" s="105"/>
      <c r="F321" s="106"/>
      <c r="G321" s="103" t="s">
        <v>135</v>
      </c>
      <c r="H321" s="32"/>
      <c r="I321" s="32"/>
      <c r="J321" s="33"/>
      <c r="K321" s="107" t="str">
        <f>'Invetario de Tablas'!C27</f>
        <v>nace de la relacion publicidad y reaccion</v>
      </c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6"/>
      <c r="X321" s="108" t="s">
        <v>186</v>
      </c>
      <c r="Y321" s="117" t="str">
        <f>Y3</f>
        <v>1.0</v>
      </c>
    </row>
    <row r="322" ht="31.5" customHeight="1">
      <c r="A322" s="110" t="s">
        <v>1</v>
      </c>
      <c r="B322" s="111" t="s">
        <v>187</v>
      </c>
      <c r="C322" s="112" t="s">
        <v>188</v>
      </c>
      <c r="F322" s="113"/>
      <c r="G322" s="114" t="s">
        <v>370</v>
      </c>
      <c r="H322" s="88"/>
      <c r="I322" s="88"/>
      <c r="J322" s="89"/>
      <c r="K322" s="112" t="s">
        <v>190</v>
      </c>
      <c r="N322" s="113"/>
      <c r="O322" s="112" t="s">
        <v>191</v>
      </c>
      <c r="Q322" s="113"/>
      <c r="R322" s="112" t="s">
        <v>192</v>
      </c>
      <c r="S322" s="113"/>
      <c r="T322" s="112" t="s">
        <v>193</v>
      </c>
      <c r="U322" s="113"/>
      <c r="V322" s="112" t="s">
        <v>194</v>
      </c>
      <c r="W322" s="113"/>
      <c r="X322" s="114" t="s">
        <v>195</v>
      </c>
      <c r="Y322" s="115"/>
    </row>
    <row r="323" ht="31.5" customHeight="1">
      <c r="A323" s="127">
        <v>1.0</v>
      </c>
      <c r="B323" s="135" t="s">
        <v>196</v>
      </c>
      <c r="C323" s="43" t="s">
        <v>197</v>
      </c>
      <c r="D323" s="5"/>
      <c r="E323" s="5"/>
      <c r="F323" s="6"/>
      <c r="G323" s="94" t="s">
        <v>372</v>
      </c>
      <c r="H323" s="5"/>
      <c r="I323" s="5"/>
      <c r="J323" s="6"/>
      <c r="K323" s="45">
        <v>15.0</v>
      </c>
      <c r="L323" s="5"/>
      <c r="M323" s="5"/>
      <c r="N323" s="6"/>
      <c r="O323" s="45" t="s">
        <v>199</v>
      </c>
      <c r="P323" s="5"/>
      <c r="Q323" s="6"/>
      <c r="R323" s="47"/>
      <c r="S323" s="6"/>
      <c r="T323" s="46" t="s">
        <v>200</v>
      </c>
      <c r="U323" s="6"/>
      <c r="V323" s="47"/>
      <c r="W323" s="6"/>
      <c r="X323" s="47"/>
      <c r="Y323" s="6"/>
    </row>
    <row r="324" ht="31.5" customHeight="1">
      <c r="A324" s="127">
        <v>2.0</v>
      </c>
      <c r="B324" s="135" t="s">
        <v>365</v>
      </c>
      <c r="C324" s="43" t="s">
        <v>366</v>
      </c>
      <c r="D324" s="5"/>
      <c r="E324" s="5"/>
      <c r="F324" s="6"/>
      <c r="G324" s="94" t="s">
        <v>373</v>
      </c>
      <c r="H324" s="5"/>
      <c r="I324" s="5"/>
      <c r="J324" s="6"/>
      <c r="K324" s="45">
        <v>10.0</v>
      </c>
      <c r="L324" s="5"/>
      <c r="M324" s="5"/>
      <c r="N324" s="6"/>
      <c r="O324" s="45" t="s">
        <v>199</v>
      </c>
      <c r="P324" s="5"/>
      <c r="Q324" s="6"/>
      <c r="R324" s="46" t="s">
        <v>200</v>
      </c>
      <c r="S324" s="6"/>
      <c r="T324" s="47"/>
      <c r="U324" s="6"/>
      <c r="V324" s="47"/>
      <c r="W324" s="6"/>
      <c r="X324" s="47"/>
      <c r="Y324" s="6"/>
    </row>
    <row r="325" ht="31.5" customHeight="1">
      <c r="A325" s="128">
        <v>3.0</v>
      </c>
      <c r="B325" s="136" t="s">
        <v>255</v>
      </c>
      <c r="C325" s="120" t="s">
        <v>256</v>
      </c>
      <c r="D325" s="88"/>
      <c r="E325" s="88"/>
      <c r="F325" s="89"/>
      <c r="G325" s="134" t="s">
        <v>372</v>
      </c>
      <c r="H325" s="88"/>
      <c r="I325" s="88"/>
      <c r="J325" s="89"/>
      <c r="K325" s="121">
        <v>5.0</v>
      </c>
      <c r="L325" s="88"/>
      <c r="M325" s="88"/>
      <c r="N325" s="89"/>
      <c r="O325" s="121" t="s">
        <v>199</v>
      </c>
      <c r="P325" s="88"/>
      <c r="Q325" s="89"/>
      <c r="R325" s="122"/>
      <c r="S325" s="89"/>
      <c r="T325" s="133" t="s">
        <v>200</v>
      </c>
      <c r="U325" s="89"/>
      <c r="V325" s="122"/>
      <c r="W325" s="89"/>
      <c r="X325" s="122"/>
      <c r="Y325" s="89"/>
    </row>
    <row r="326" ht="31.5" customHeight="1">
      <c r="A326" s="123"/>
      <c r="B326" s="124"/>
      <c r="C326" s="124"/>
      <c r="D326" s="88"/>
      <c r="E326" s="88"/>
      <c r="F326" s="88"/>
      <c r="G326" s="124"/>
      <c r="H326" s="88"/>
      <c r="I326" s="88"/>
      <c r="J326" s="88"/>
      <c r="K326" s="124"/>
      <c r="L326" s="88"/>
      <c r="M326" s="88"/>
      <c r="N326" s="88"/>
      <c r="O326" s="124"/>
      <c r="P326" s="88"/>
      <c r="Q326" s="88"/>
      <c r="R326" s="124"/>
      <c r="S326" s="88"/>
      <c r="T326" s="124"/>
      <c r="U326" s="88"/>
      <c r="V326" s="124"/>
      <c r="W326" s="88"/>
      <c r="X326" s="124"/>
      <c r="Y326" s="88"/>
    </row>
    <row r="327" ht="31.5" customHeight="1">
      <c r="A327" s="61"/>
      <c r="B327" s="62"/>
      <c r="C327" s="62"/>
      <c r="G327" s="62"/>
      <c r="K327" s="62"/>
      <c r="O327" s="62"/>
      <c r="R327" s="62"/>
      <c r="T327" s="62"/>
      <c r="V327" s="62"/>
      <c r="X327" s="62"/>
    </row>
    <row r="328" ht="31.5" customHeight="1"/>
    <row r="329" ht="31.5" customHeight="1"/>
    <row r="330" ht="31.5" customHeight="1"/>
    <row r="331" ht="40.5" customHeight="1">
      <c r="A331" s="100" t="s">
        <v>377</v>
      </c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6"/>
    </row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1586">
    <mergeCell ref="C7:F7"/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O4:Q4"/>
    <mergeCell ref="R4:S4"/>
    <mergeCell ref="O5:Q5"/>
    <mergeCell ref="R5:S5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C6:F6"/>
    <mergeCell ref="G6:J6"/>
    <mergeCell ref="K6:N6"/>
    <mergeCell ref="G7:J7"/>
    <mergeCell ref="K7:N7"/>
    <mergeCell ref="O7:Q7"/>
    <mergeCell ref="R7:S7"/>
    <mergeCell ref="T7:U7"/>
    <mergeCell ref="V7:W7"/>
    <mergeCell ref="X7:Y7"/>
    <mergeCell ref="V8:W8"/>
    <mergeCell ref="X8:Y8"/>
    <mergeCell ref="V12:W12"/>
    <mergeCell ref="X12:Y12"/>
    <mergeCell ref="R19:S19"/>
    <mergeCell ref="T19:U19"/>
    <mergeCell ref="C18:F18"/>
    <mergeCell ref="G18:J18"/>
    <mergeCell ref="K18:W18"/>
    <mergeCell ref="C19:F19"/>
    <mergeCell ref="G19:J19"/>
    <mergeCell ref="K19:N19"/>
    <mergeCell ref="O19:Q19"/>
    <mergeCell ref="G20:J20"/>
    <mergeCell ref="K20:N20"/>
    <mergeCell ref="O20:Q20"/>
    <mergeCell ref="R20:S20"/>
    <mergeCell ref="T20:U20"/>
    <mergeCell ref="V20:W20"/>
    <mergeCell ref="X20:Y20"/>
    <mergeCell ref="C20:F20"/>
    <mergeCell ref="C21:F21"/>
    <mergeCell ref="G21:J21"/>
    <mergeCell ref="K21:N21"/>
    <mergeCell ref="O21:Q21"/>
    <mergeCell ref="R21:S21"/>
    <mergeCell ref="T21:U21"/>
    <mergeCell ref="T22:U22"/>
    <mergeCell ref="V22:W22"/>
    <mergeCell ref="V21:W21"/>
    <mergeCell ref="X21:Y21"/>
    <mergeCell ref="G22:J22"/>
    <mergeCell ref="K22:N22"/>
    <mergeCell ref="O22:Q22"/>
    <mergeCell ref="R22:S22"/>
    <mergeCell ref="X22:Y22"/>
    <mergeCell ref="R28:S28"/>
    <mergeCell ref="T28:U28"/>
    <mergeCell ref="C27:F27"/>
    <mergeCell ref="G27:J27"/>
    <mergeCell ref="K27:W27"/>
    <mergeCell ref="C28:F28"/>
    <mergeCell ref="G28:J28"/>
    <mergeCell ref="K28:N28"/>
    <mergeCell ref="O28:Q28"/>
    <mergeCell ref="V23:W23"/>
    <mergeCell ref="X23:Y23"/>
    <mergeCell ref="C22:F22"/>
    <mergeCell ref="C23:F23"/>
    <mergeCell ref="G23:J23"/>
    <mergeCell ref="K23:N23"/>
    <mergeCell ref="O23:Q23"/>
    <mergeCell ref="R23:S23"/>
    <mergeCell ref="T23:U23"/>
    <mergeCell ref="T29:U29"/>
    <mergeCell ref="V29:W29"/>
    <mergeCell ref="V28:W28"/>
    <mergeCell ref="X28:Y28"/>
    <mergeCell ref="G29:J29"/>
    <mergeCell ref="K29:N29"/>
    <mergeCell ref="O29:Q29"/>
    <mergeCell ref="R29:S29"/>
    <mergeCell ref="X29:Y29"/>
    <mergeCell ref="V30:W30"/>
    <mergeCell ref="X30:Y30"/>
    <mergeCell ref="C29:F29"/>
    <mergeCell ref="C30:F30"/>
    <mergeCell ref="G30:J30"/>
    <mergeCell ref="K30:N30"/>
    <mergeCell ref="O30:Q30"/>
    <mergeCell ref="R30:S30"/>
    <mergeCell ref="T30:U30"/>
    <mergeCell ref="G31:J31"/>
    <mergeCell ref="K31:N31"/>
    <mergeCell ref="O31:Q31"/>
    <mergeCell ref="R31:S31"/>
    <mergeCell ref="T31:U31"/>
    <mergeCell ref="V31:W31"/>
    <mergeCell ref="X31:Y31"/>
    <mergeCell ref="C31:F31"/>
    <mergeCell ref="C32:F32"/>
    <mergeCell ref="G32:J32"/>
    <mergeCell ref="K32:N32"/>
    <mergeCell ref="O32:Q32"/>
    <mergeCell ref="R32:S32"/>
    <mergeCell ref="T32:U32"/>
    <mergeCell ref="T33:U33"/>
    <mergeCell ref="V33:W33"/>
    <mergeCell ref="V32:W32"/>
    <mergeCell ref="X32:Y32"/>
    <mergeCell ref="G33:J33"/>
    <mergeCell ref="K33:N33"/>
    <mergeCell ref="O33:Q33"/>
    <mergeCell ref="R33:S33"/>
    <mergeCell ref="X33:Y33"/>
    <mergeCell ref="V34:W34"/>
    <mergeCell ref="X34:Y34"/>
    <mergeCell ref="C33:F33"/>
    <mergeCell ref="C34:F34"/>
    <mergeCell ref="G34:J34"/>
    <mergeCell ref="K34:N34"/>
    <mergeCell ref="O34:Q34"/>
    <mergeCell ref="R34:S34"/>
    <mergeCell ref="T34:U34"/>
    <mergeCell ref="G11:J11"/>
    <mergeCell ref="K11:N11"/>
    <mergeCell ref="O11:Q11"/>
    <mergeCell ref="R11:S11"/>
    <mergeCell ref="T11:U11"/>
    <mergeCell ref="V11:W11"/>
    <mergeCell ref="X11:Y11"/>
    <mergeCell ref="C11:F11"/>
    <mergeCell ref="C12:F12"/>
    <mergeCell ref="G12:J12"/>
    <mergeCell ref="K12:N12"/>
    <mergeCell ref="O12:Q12"/>
    <mergeCell ref="R12:S12"/>
    <mergeCell ref="T12:U12"/>
    <mergeCell ref="G13:J13"/>
    <mergeCell ref="K13:N13"/>
    <mergeCell ref="O13:Q13"/>
    <mergeCell ref="R13:S13"/>
    <mergeCell ref="T13:U13"/>
    <mergeCell ref="V13:W13"/>
    <mergeCell ref="X13:Y13"/>
    <mergeCell ref="V14:W14"/>
    <mergeCell ref="X14:Y14"/>
    <mergeCell ref="C13:F13"/>
    <mergeCell ref="C14:F14"/>
    <mergeCell ref="G14:J14"/>
    <mergeCell ref="K14:N14"/>
    <mergeCell ref="O14:Q14"/>
    <mergeCell ref="R14:S14"/>
    <mergeCell ref="T14:U14"/>
    <mergeCell ref="V19:W19"/>
    <mergeCell ref="X19:Y19"/>
    <mergeCell ref="G35:J35"/>
    <mergeCell ref="K35:N35"/>
    <mergeCell ref="O35:Q35"/>
    <mergeCell ref="R35:S35"/>
    <mergeCell ref="T35:U35"/>
    <mergeCell ref="V35:W35"/>
    <mergeCell ref="X35:Y35"/>
    <mergeCell ref="V62:W62"/>
    <mergeCell ref="X62:Y62"/>
    <mergeCell ref="C61:F61"/>
    <mergeCell ref="C62:F62"/>
    <mergeCell ref="G62:J62"/>
    <mergeCell ref="K62:N62"/>
    <mergeCell ref="O62:Q62"/>
    <mergeCell ref="R62:S62"/>
    <mergeCell ref="T62:U62"/>
    <mergeCell ref="O56:Q56"/>
    <mergeCell ref="R56:S56"/>
    <mergeCell ref="T56:U56"/>
    <mergeCell ref="V56:W56"/>
    <mergeCell ref="X56:Y56"/>
    <mergeCell ref="C49:F49"/>
    <mergeCell ref="C55:F55"/>
    <mergeCell ref="G55:J55"/>
    <mergeCell ref="K55:W55"/>
    <mergeCell ref="C56:F56"/>
    <mergeCell ref="G56:J56"/>
    <mergeCell ref="K56:N56"/>
    <mergeCell ref="G57:J57"/>
    <mergeCell ref="K57:N57"/>
    <mergeCell ref="O57:Q57"/>
    <mergeCell ref="R57:S57"/>
    <mergeCell ref="T57:U57"/>
    <mergeCell ref="V57:W57"/>
    <mergeCell ref="X57:Y57"/>
    <mergeCell ref="V58:W58"/>
    <mergeCell ref="X58:Y58"/>
    <mergeCell ref="C57:F57"/>
    <mergeCell ref="C58:F58"/>
    <mergeCell ref="G58:J58"/>
    <mergeCell ref="K58:N58"/>
    <mergeCell ref="O58:Q58"/>
    <mergeCell ref="R58:S58"/>
    <mergeCell ref="T58:U58"/>
    <mergeCell ref="G63:J63"/>
    <mergeCell ref="K63:N63"/>
    <mergeCell ref="O63:Q63"/>
    <mergeCell ref="R63:S63"/>
    <mergeCell ref="T63:U63"/>
    <mergeCell ref="V63:W63"/>
    <mergeCell ref="X63:Y63"/>
    <mergeCell ref="G45:J45"/>
    <mergeCell ref="K45:N45"/>
    <mergeCell ref="O45:Q45"/>
    <mergeCell ref="R45:S45"/>
    <mergeCell ref="T45:U45"/>
    <mergeCell ref="V45:W45"/>
    <mergeCell ref="X45:Y45"/>
    <mergeCell ref="C45:F45"/>
    <mergeCell ref="C46:F46"/>
    <mergeCell ref="G46:J46"/>
    <mergeCell ref="K46:N46"/>
    <mergeCell ref="O46:Q46"/>
    <mergeCell ref="R46:S46"/>
    <mergeCell ref="T46:U46"/>
    <mergeCell ref="T47:U47"/>
    <mergeCell ref="V47:W47"/>
    <mergeCell ref="V46:W46"/>
    <mergeCell ref="X46:Y46"/>
    <mergeCell ref="G47:J47"/>
    <mergeCell ref="K47:N47"/>
    <mergeCell ref="O47:Q47"/>
    <mergeCell ref="R47:S47"/>
    <mergeCell ref="X47:Y47"/>
    <mergeCell ref="V48:W48"/>
    <mergeCell ref="X48:Y48"/>
    <mergeCell ref="C47:F47"/>
    <mergeCell ref="C48:F48"/>
    <mergeCell ref="G48:J48"/>
    <mergeCell ref="K48:N48"/>
    <mergeCell ref="O48:Q48"/>
    <mergeCell ref="R48:S48"/>
    <mergeCell ref="T48:U48"/>
    <mergeCell ref="O42:Q42"/>
    <mergeCell ref="R42:S42"/>
    <mergeCell ref="T42:U42"/>
    <mergeCell ref="V42:W42"/>
    <mergeCell ref="X42:Y42"/>
    <mergeCell ref="C35:F35"/>
    <mergeCell ref="C41:F41"/>
    <mergeCell ref="G41:J41"/>
    <mergeCell ref="K41:W41"/>
    <mergeCell ref="C42:F42"/>
    <mergeCell ref="G42:J42"/>
    <mergeCell ref="K42:N42"/>
    <mergeCell ref="G43:J43"/>
    <mergeCell ref="K43:N43"/>
    <mergeCell ref="O43:Q43"/>
    <mergeCell ref="R43:S43"/>
    <mergeCell ref="T43:U43"/>
    <mergeCell ref="V43:W43"/>
    <mergeCell ref="X43:Y43"/>
    <mergeCell ref="V44:W44"/>
    <mergeCell ref="X44:Y44"/>
    <mergeCell ref="C43:F43"/>
    <mergeCell ref="C44:F44"/>
    <mergeCell ref="G44:J44"/>
    <mergeCell ref="K44:N44"/>
    <mergeCell ref="O44:Q44"/>
    <mergeCell ref="R44:S44"/>
    <mergeCell ref="T44:U44"/>
    <mergeCell ref="G49:J49"/>
    <mergeCell ref="K49:N49"/>
    <mergeCell ref="O49:Q49"/>
    <mergeCell ref="R49:S49"/>
    <mergeCell ref="T49:U49"/>
    <mergeCell ref="V49:W49"/>
    <mergeCell ref="X49:Y49"/>
    <mergeCell ref="G59:J59"/>
    <mergeCell ref="K59:N59"/>
    <mergeCell ref="O59:Q59"/>
    <mergeCell ref="R59:S59"/>
    <mergeCell ref="T59:U59"/>
    <mergeCell ref="V59:W59"/>
    <mergeCell ref="X59:Y59"/>
    <mergeCell ref="C59:F59"/>
    <mergeCell ref="C60:F60"/>
    <mergeCell ref="G60:J60"/>
    <mergeCell ref="K60:N60"/>
    <mergeCell ref="O60:Q60"/>
    <mergeCell ref="R60:S60"/>
    <mergeCell ref="T60:U60"/>
    <mergeCell ref="T61:U61"/>
    <mergeCell ref="V61:W61"/>
    <mergeCell ref="V60:W60"/>
    <mergeCell ref="X60:Y60"/>
    <mergeCell ref="G61:J61"/>
    <mergeCell ref="K61:N61"/>
    <mergeCell ref="O61:Q61"/>
    <mergeCell ref="R61:S61"/>
    <mergeCell ref="X61:Y61"/>
    <mergeCell ref="T75:U75"/>
    <mergeCell ref="V75:W75"/>
    <mergeCell ref="V74:W74"/>
    <mergeCell ref="X74:Y74"/>
    <mergeCell ref="G75:J75"/>
    <mergeCell ref="K75:N75"/>
    <mergeCell ref="O75:Q75"/>
    <mergeCell ref="R75:S75"/>
    <mergeCell ref="X75:Y75"/>
    <mergeCell ref="G73:J73"/>
    <mergeCell ref="K73:N73"/>
    <mergeCell ref="O73:Q73"/>
    <mergeCell ref="R73:S73"/>
    <mergeCell ref="T73:U73"/>
    <mergeCell ref="V73:W73"/>
    <mergeCell ref="X73:Y73"/>
    <mergeCell ref="C73:F73"/>
    <mergeCell ref="C74:F74"/>
    <mergeCell ref="G74:J74"/>
    <mergeCell ref="K74:N74"/>
    <mergeCell ref="O74:Q74"/>
    <mergeCell ref="R74:S74"/>
    <mergeCell ref="T74:U74"/>
    <mergeCell ref="V76:W76"/>
    <mergeCell ref="X76:Y76"/>
    <mergeCell ref="C75:F75"/>
    <mergeCell ref="C76:F76"/>
    <mergeCell ref="G76:J76"/>
    <mergeCell ref="K76:N76"/>
    <mergeCell ref="O76:Q76"/>
    <mergeCell ref="R76:S76"/>
    <mergeCell ref="T76:U76"/>
    <mergeCell ref="G77:J77"/>
    <mergeCell ref="K77:N77"/>
    <mergeCell ref="O77:Q77"/>
    <mergeCell ref="R77:S77"/>
    <mergeCell ref="T77:U77"/>
    <mergeCell ref="V77:W77"/>
    <mergeCell ref="X77:Y77"/>
    <mergeCell ref="C77:F77"/>
    <mergeCell ref="C78:F78"/>
    <mergeCell ref="G78:J78"/>
    <mergeCell ref="K78:N78"/>
    <mergeCell ref="O78:Q78"/>
    <mergeCell ref="R78:S78"/>
    <mergeCell ref="T78:U78"/>
    <mergeCell ref="T85:U85"/>
    <mergeCell ref="V85:W85"/>
    <mergeCell ref="X85:Y85"/>
    <mergeCell ref="R84:S84"/>
    <mergeCell ref="T84:U84"/>
    <mergeCell ref="C85:F85"/>
    <mergeCell ref="G85:J85"/>
    <mergeCell ref="K85:N85"/>
    <mergeCell ref="O85:Q85"/>
    <mergeCell ref="R85:S85"/>
    <mergeCell ref="G86:J86"/>
    <mergeCell ref="K86:N86"/>
    <mergeCell ref="O86:Q86"/>
    <mergeCell ref="R86:S86"/>
    <mergeCell ref="T86:U86"/>
    <mergeCell ref="V86:W86"/>
    <mergeCell ref="X86:Y86"/>
    <mergeCell ref="C86:F86"/>
    <mergeCell ref="C87:F87"/>
    <mergeCell ref="G87:J87"/>
    <mergeCell ref="K87:N87"/>
    <mergeCell ref="O87:Q87"/>
    <mergeCell ref="R87:S87"/>
    <mergeCell ref="T87:U87"/>
    <mergeCell ref="T88:U88"/>
    <mergeCell ref="V88:W88"/>
    <mergeCell ref="V87:W87"/>
    <mergeCell ref="X87:Y87"/>
    <mergeCell ref="G88:J88"/>
    <mergeCell ref="K88:N88"/>
    <mergeCell ref="O88:Q88"/>
    <mergeCell ref="R88:S88"/>
    <mergeCell ref="X88:Y88"/>
    <mergeCell ref="V89:W89"/>
    <mergeCell ref="X89:Y89"/>
    <mergeCell ref="C88:F88"/>
    <mergeCell ref="C89:F89"/>
    <mergeCell ref="G89:J89"/>
    <mergeCell ref="K89:N89"/>
    <mergeCell ref="O89:Q89"/>
    <mergeCell ref="R89:S89"/>
    <mergeCell ref="T89:U89"/>
    <mergeCell ref="K98:N98"/>
    <mergeCell ref="O98:Q98"/>
    <mergeCell ref="V98:W98"/>
    <mergeCell ref="X98:Y98"/>
    <mergeCell ref="V91:W91"/>
    <mergeCell ref="X91:Y91"/>
    <mergeCell ref="C97:F97"/>
    <mergeCell ref="G97:J97"/>
    <mergeCell ref="K97:W97"/>
    <mergeCell ref="C98:F98"/>
    <mergeCell ref="G98:J98"/>
    <mergeCell ref="O70:Q70"/>
    <mergeCell ref="R70:S70"/>
    <mergeCell ref="T70:U70"/>
    <mergeCell ref="V70:W70"/>
    <mergeCell ref="X70:Y70"/>
    <mergeCell ref="C63:F63"/>
    <mergeCell ref="C69:F69"/>
    <mergeCell ref="G69:J69"/>
    <mergeCell ref="K69:W69"/>
    <mergeCell ref="C70:F70"/>
    <mergeCell ref="G70:J70"/>
    <mergeCell ref="K70:N70"/>
    <mergeCell ref="G71:J71"/>
    <mergeCell ref="K71:N71"/>
    <mergeCell ref="O71:Q71"/>
    <mergeCell ref="R71:S71"/>
    <mergeCell ref="T71:U71"/>
    <mergeCell ref="V71:W71"/>
    <mergeCell ref="X71:Y71"/>
    <mergeCell ref="V72:W72"/>
    <mergeCell ref="X72:Y72"/>
    <mergeCell ref="C71:F71"/>
    <mergeCell ref="C72:F72"/>
    <mergeCell ref="G72:J72"/>
    <mergeCell ref="K72:N72"/>
    <mergeCell ref="O72:Q72"/>
    <mergeCell ref="R72:S72"/>
    <mergeCell ref="T72:U72"/>
    <mergeCell ref="V105:W105"/>
    <mergeCell ref="X105:Y105"/>
    <mergeCell ref="K84:N84"/>
    <mergeCell ref="O84:Q84"/>
    <mergeCell ref="V84:W84"/>
    <mergeCell ref="X84:Y84"/>
    <mergeCell ref="V78:W78"/>
    <mergeCell ref="X78:Y78"/>
    <mergeCell ref="C83:F83"/>
    <mergeCell ref="G83:J83"/>
    <mergeCell ref="K83:W83"/>
    <mergeCell ref="C84:F84"/>
    <mergeCell ref="G84:J84"/>
    <mergeCell ref="G90:J90"/>
    <mergeCell ref="K90:N90"/>
    <mergeCell ref="O90:Q90"/>
    <mergeCell ref="R90:S90"/>
    <mergeCell ref="T90:U90"/>
    <mergeCell ref="V90:W90"/>
    <mergeCell ref="X90:Y90"/>
    <mergeCell ref="C90:F90"/>
    <mergeCell ref="C91:F91"/>
    <mergeCell ref="G91:J91"/>
    <mergeCell ref="K91:N91"/>
    <mergeCell ref="O91:Q91"/>
    <mergeCell ref="R91:S91"/>
    <mergeCell ref="T91:U91"/>
    <mergeCell ref="T99:U99"/>
    <mergeCell ref="V99:W99"/>
    <mergeCell ref="X99:Y99"/>
    <mergeCell ref="R98:S98"/>
    <mergeCell ref="T98:U98"/>
    <mergeCell ref="C99:F99"/>
    <mergeCell ref="G99:J99"/>
    <mergeCell ref="K99:N99"/>
    <mergeCell ref="O99:Q99"/>
    <mergeCell ref="R99:S99"/>
    <mergeCell ref="G100:J100"/>
    <mergeCell ref="K100:N100"/>
    <mergeCell ref="O100:Q100"/>
    <mergeCell ref="R100:S100"/>
    <mergeCell ref="T100:U100"/>
    <mergeCell ref="V100:W100"/>
    <mergeCell ref="X100:Y100"/>
    <mergeCell ref="C100:F100"/>
    <mergeCell ref="C101:F101"/>
    <mergeCell ref="G101:J101"/>
    <mergeCell ref="K101:N101"/>
    <mergeCell ref="O101:Q101"/>
    <mergeCell ref="R101:S101"/>
    <mergeCell ref="T101:U101"/>
    <mergeCell ref="T102:U102"/>
    <mergeCell ref="V102:W102"/>
    <mergeCell ref="V101:W101"/>
    <mergeCell ref="X101:Y101"/>
    <mergeCell ref="G102:J102"/>
    <mergeCell ref="K102:N102"/>
    <mergeCell ref="O102:Q102"/>
    <mergeCell ref="R102:S102"/>
    <mergeCell ref="X102:Y102"/>
    <mergeCell ref="V103:W103"/>
    <mergeCell ref="X103:Y103"/>
    <mergeCell ref="C102:F102"/>
    <mergeCell ref="C103:F103"/>
    <mergeCell ref="G103:J103"/>
    <mergeCell ref="K103:N103"/>
    <mergeCell ref="O103:Q103"/>
    <mergeCell ref="R103:S103"/>
    <mergeCell ref="T103:U103"/>
    <mergeCell ref="G113:J113"/>
    <mergeCell ref="K113:N113"/>
    <mergeCell ref="O113:Q113"/>
    <mergeCell ref="R113:S113"/>
    <mergeCell ref="T113:U113"/>
    <mergeCell ref="V113:W113"/>
    <mergeCell ref="X113:Y113"/>
    <mergeCell ref="C113:F113"/>
    <mergeCell ref="C114:F114"/>
    <mergeCell ref="G114:J114"/>
    <mergeCell ref="K114:N114"/>
    <mergeCell ref="O114:Q114"/>
    <mergeCell ref="R114:S114"/>
    <mergeCell ref="T114:U114"/>
    <mergeCell ref="O252:Q252"/>
    <mergeCell ref="R252:S252"/>
    <mergeCell ref="C245:F245"/>
    <mergeCell ref="C251:F251"/>
    <mergeCell ref="G251:J251"/>
    <mergeCell ref="K251:W251"/>
    <mergeCell ref="C252:F252"/>
    <mergeCell ref="G252:J252"/>
    <mergeCell ref="K252:N252"/>
    <mergeCell ref="G253:J253"/>
    <mergeCell ref="K253:N253"/>
    <mergeCell ref="O253:Q253"/>
    <mergeCell ref="R253:S253"/>
    <mergeCell ref="T253:U253"/>
    <mergeCell ref="V253:W253"/>
    <mergeCell ref="X253:Y253"/>
    <mergeCell ref="V254:W254"/>
    <mergeCell ref="X254:Y254"/>
    <mergeCell ref="C253:F253"/>
    <mergeCell ref="C254:F254"/>
    <mergeCell ref="G254:J254"/>
    <mergeCell ref="K254:N254"/>
    <mergeCell ref="O254:Q254"/>
    <mergeCell ref="R254:S254"/>
    <mergeCell ref="T254:U254"/>
    <mergeCell ref="V256:W256"/>
    <mergeCell ref="X256:Y256"/>
    <mergeCell ref="T266:U266"/>
    <mergeCell ref="V266:W266"/>
    <mergeCell ref="X266:Y266"/>
    <mergeCell ref="O266:Q266"/>
    <mergeCell ref="R266:S266"/>
    <mergeCell ref="C259:F259"/>
    <mergeCell ref="C265:F265"/>
    <mergeCell ref="G265:J265"/>
    <mergeCell ref="K265:W265"/>
    <mergeCell ref="C266:F266"/>
    <mergeCell ref="G266:J266"/>
    <mergeCell ref="K266:N266"/>
    <mergeCell ref="G267:J267"/>
    <mergeCell ref="K267:N267"/>
    <mergeCell ref="O267:Q267"/>
    <mergeCell ref="R267:S267"/>
    <mergeCell ref="T267:U267"/>
    <mergeCell ref="V267:W267"/>
    <mergeCell ref="X267:Y267"/>
    <mergeCell ref="V268:W268"/>
    <mergeCell ref="X268:Y268"/>
    <mergeCell ref="C267:F267"/>
    <mergeCell ref="C268:F268"/>
    <mergeCell ref="G268:J268"/>
    <mergeCell ref="K268:N268"/>
    <mergeCell ref="O268:Q268"/>
    <mergeCell ref="R268:S268"/>
    <mergeCell ref="T268:U268"/>
    <mergeCell ref="V270:W270"/>
    <mergeCell ref="X270:Y270"/>
    <mergeCell ref="T280:U280"/>
    <mergeCell ref="V280:W280"/>
    <mergeCell ref="X280:Y280"/>
    <mergeCell ref="O238:Q238"/>
    <mergeCell ref="R238:S238"/>
    <mergeCell ref="C229:F229"/>
    <mergeCell ref="C237:F237"/>
    <mergeCell ref="G237:J237"/>
    <mergeCell ref="K237:W237"/>
    <mergeCell ref="C238:F238"/>
    <mergeCell ref="G238:J238"/>
    <mergeCell ref="K238:N238"/>
    <mergeCell ref="G239:J239"/>
    <mergeCell ref="K239:N239"/>
    <mergeCell ref="O239:Q239"/>
    <mergeCell ref="R239:S239"/>
    <mergeCell ref="T239:U239"/>
    <mergeCell ref="V239:W239"/>
    <mergeCell ref="X239:Y239"/>
    <mergeCell ref="V240:W240"/>
    <mergeCell ref="X240:Y240"/>
    <mergeCell ref="C239:F239"/>
    <mergeCell ref="C240:F240"/>
    <mergeCell ref="G240:J240"/>
    <mergeCell ref="K240:N240"/>
    <mergeCell ref="O240:Q240"/>
    <mergeCell ref="R240:S240"/>
    <mergeCell ref="T240:U240"/>
    <mergeCell ref="V242:W242"/>
    <mergeCell ref="X242:Y242"/>
    <mergeCell ref="T252:U252"/>
    <mergeCell ref="V252:W252"/>
    <mergeCell ref="X252:Y252"/>
    <mergeCell ref="G257:J257"/>
    <mergeCell ref="K257:N257"/>
    <mergeCell ref="O257:Q257"/>
    <mergeCell ref="R257:S257"/>
    <mergeCell ref="T257:U257"/>
    <mergeCell ref="V257:W257"/>
    <mergeCell ref="X257:Y257"/>
    <mergeCell ref="C257:F257"/>
    <mergeCell ref="C258:F258"/>
    <mergeCell ref="G258:J258"/>
    <mergeCell ref="K258:N258"/>
    <mergeCell ref="O258:Q258"/>
    <mergeCell ref="R258:S258"/>
    <mergeCell ref="T258:U258"/>
    <mergeCell ref="T259:U259"/>
    <mergeCell ref="V259:W259"/>
    <mergeCell ref="V258:W258"/>
    <mergeCell ref="X258:Y258"/>
    <mergeCell ref="G259:J259"/>
    <mergeCell ref="K259:N259"/>
    <mergeCell ref="O259:Q259"/>
    <mergeCell ref="R259:S259"/>
    <mergeCell ref="X259:Y259"/>
    <mergeCell ref="G269:J269"/>
    <mergeCell ref="K269:N269"/>
    <mergeCell ref="O269:Q269"/>
    <mergeCell ref="R269:S269"/>
    <mergeCell ref="T269:U269"/>
    <mergeCell ref="V269:W269"/>
    <mergeCell ref="X269:Y269"/>
    <mergeCell ref="C269:F269"/>
    <mergeCell ref="C270:F270"/>
    <mergeCell ref="G270:J270"/>
    <mergeCell ref="K270:N270"/>
    <mergeCell ref="O270:Q270"/>
    <mergeCell ref="R270:S270"/>
    <mergeCell ref="T270:U270"/>
    <mergeCell ref="G271:J271"/>
    <mergeCell ref="K271:N271"/>
    <mergeCell ref="O271:Q271"/>
    <mergeCell ref="R271:S271"/>
    <mergeCell ref="T271:U271"/>
    <mergeCell ref="V271:W271"/>
    <mergeCell ref="X271:Y271"/>
    <mergeCell ref="C271:F271"/>
    <mergeCell ref="C272:F272"/>
    <mergeCell ref="G272:J272"/>
    <mergeCell ref="K272:N272"/>
    <mergeCell ref="O272:Q272"/>
    <mergeCell ref="R272:S272"/>
    <mergeCell ref="T272:U272"/>
    <mergeCell ref="T273:U273"/>
    <mergeCell ref="V273:W273"/>
    <mergeCell ref="V272:W272"/>
    <mergeCell ref="X272:Y272"/>
    <mergeCell ref="G273:J273"/>
    <mergeCell ref="K273:N273"/>
    <mergeCell ref="O273:Q273"/>
    <mergeCell ref="R273:S273"/>
    <mergeCell ref="X273:Y273"/>
    <mergeCell ref="G283:J283"/>
    <mergeCell ref="K283:N283"/>
    <mergeCell ref="O283:Q283"/>
    <mergeCell ref="R283:S283"/>
    <mergeCell ref="T283:U283"/>
    <mergeCell ref="V283:W283"/>
    <mergeCell ref="X283:Y283"/>
    <mergeCell ref="C283:F283"/>
    <mergeCell ref="C284:F284"/>
    <mergeCell ref="G284:J284"/>
    <mergeCell ref="K284:N284"/>
    <mergeCell ref="O284:Q284"/>
    <mergeCell ref="R284:S284"/>
    <mergeCell ref="T284:U284"/>
    <mergeCell ref="O294:Q294"/>
    <mergeCell ref="R294:S294"/>
    <mergeCell ref="C287:F287"/>
    <mergeCell ref="C293:F293"/>
    <mergeCell ref="G293:J293"/>
    <mergeCell ref="K293:W293"/>
    <mergeCell ref="C294:F294"/>
    <mergeCell ref="G294:J294"/>
    <mergeCell ref="K294:N294"/>
    <mergeCell ref="G295:J295"/>
    <mergeCell ref="K295:N295"/>
    <mergeCell ref="O295:Q295"/>
    <mergeCell ref="R295:S295"/>
    <mergeCell ref="T295:U295"/>
    <mergeCell ref="V295:W295"/>
    <mergeCell ref="X295:Y295"/>
    <mergeCell ref="V296:W296"/>
    <mergeCell ref="X296:Y296"/>
    <mergeCell ref="C295:F295"/>
    <mergeCell ref="C296:F296"/>
    <mergeCell ref="G296:J296"/>
    <mergeCell ref="K296:N296"/>
    <mergeCell ref="O296:Q296"/>
    <mergeCell ref="R296:S296"/>
    <mergeCell ref="T296:U296"/>
    <mergeCell ref="V298:W298"/>
    <mergeCell ref="X298:Y298"/>
    <mergeCell ref="T308:U308"/>
    <mergeCell ref="V308:W308"/>
    <mergeCell ref="X308:Y308"/>
    <mergeCell ref="G313:J313"/>
    <mergeCell ref="K313:N313"/>
    <mergeCell ref="O313:Q313"/>
    <mergeCell ref="R313:S313"/>
    <mergeCell ref="T313:U313"/>
    <mergeCell ref="V313:W313"/>
    <mergeCell ref="X313:Y313"/>
    <mergeCell ref="C313:F313"/>
    <mergeCell ref="C314:F314"/>
    <mergeCell ref="G314:J314"/>
    <mergeCell ref="K314:N314"/>
    <mergeCell ref="O314:Q314"/>
    <mergeCell ref="R314:S314"/>
    <mergeCell ref="T314:U314"/>
    <mergeCell ref="T315:U315"/>
    <mergeCell ref="V315:W315"/>
    <mergeCell ref="V314:W314"/>
    <mergeCell ref="X314:Y314"/>
    <mergeCell ref="G315:J315"/>
    <mergeCell ref="K315:N315"/>
    <mergeCell ref="O315:Q315"/>
    <mergeCell ref="R315:S315"/>
    <mergeCell ref="X315:Y315"/>
    <mergeCell ref="O308:Q308"/>
    <mergeCell ref="R308:S308"/>
    <mergeCell ref="C301:F301"/>
    <mergeCell ref="C307:F307"/>
    <mergeCell ref="G307:J307"/>
    <mergeCell ref="K307:W307"/>
    <mergeCell ref="C308:F308"/>
    <mergeCell ref="G308:J308"/>
    <mergeCell ref="K308:N308"/>
    <mergeCell ref="G309:J309"/>
    <mergeCell ref="K309:N309"/>
    <mergeCell ref="O309:Q309"/>
    <mergeCell ref="R309:S309"/>
    <mergeCell ref="T309:U309"/>
    <mergeCell ref="V309:W309"/>
    <mergeCell ref="X309:Y309"/>
    <mergeCell ref="V310:W310"/>
    <mergeCell ref="X310:Y310"/>
    <mergeCell ref="C309:F309"/>
    <mergeCell ref="C310:F310"/>
    <mergeCell ref="G310:J310"/>
    <mergeCell ref="K310:N310"/>
    <mergeCell ref="O310:Q310"/>
    <mergeCell ref="R310:S310"/>
    <mergeCell ref="T310:U310"/>
    <mergeCell ref="V312:W312"/>
    <mergeCell ref="X312:Y312"/>
    <mergeCell ref="T322:U322"/>
    <mergeCell ref="V322:W322"/>
    <mergeCell ref="X322:Y322"/>
    <mergeCell ref="G325:J325"/>
    <mergeCell ref="K325:N325"/>
    <mergeCell ref="O325:Q325"/>
    <mergeCell ref="R325:S325"/>
    <mergeCell ref="T325:U325"/>
    <mergeCell ref="V325:W325"/>
    <mergeCell ref="X325:Y325"/>
    <mergeCell ref="C325:F325"/>
    <mergeCell ref="C326:F326"/>
    <mergeCell ref="G326:J326"/>
    <mergeCell ref="K326:N326"/>
    <mergeCell ref="O326:Q326"/>
    <mergeCell ref="R326:S326"/>
    <mergeCell ref="T326:U326"/>
    <mergeCell ref="O322:Q322"/>
    <mergeCell ref="R322:S322"/>
    <mergeCell ref="C315:F315"/>
    <mergeCell ref="C321:F321"/>
    <mergeCell ref="G321:J321"/>
    <mergeCell ref="K321:W321"/>
    <mergeCell ref="C322:F322"/>
    <mergeCell ref="G322:J322"/>
    <mergeCell ref="K322:N322"/>
    <mergeCell ref="G323:J323"/>
    <mergeCell ref="K323:N323"/>
    <mergeCell ref="O323:Q323"/>
    <mergeCell ref="R323:S323"/>
    <mergeCell ref="T323:U323"/>
    <mergeCell ref="V323:W323"/>
    <mergeCell ref="X323:Y323"/>
    <mergeCell ref="V324:W324"/>
    <mergeCell ref="X324:Y324"/>
    <mergeCell ref="C323:F323"/>
    <mergeCell ref="C324:F324"/>
    <mergeCell ref="G324:J324"/>
    <mergeCell ref="K324:N324"/>
    <mergeCell ref="O324:Q324"/>
    <mergeCell ref="R324:S324"/>
    <mergeCell ref="T324:U324"/>
    <mergeCell ref="V326:W326"/>
    <mergeCell ref="X326:Y326"/>
    <mergeCell ref="K327:N327"/>
    <mergeCell ref="A331:Y331"/>
    <mergeCell ref="C327:F327"/>
    <mergeCell ref="G327:J327"/>
    <mergeCell ref="O327:Q327"/>
    <mergeCell ref="R327:S327"/>
    <mergeCell ref="T327:U327"/>
    <mergeCell ref="V327:W327"/>
    <mergeCell ref="X327:Y327"/>
    <mergeCell ref="G285:J285"/>
    <mergeCell ref="K285:N285"/>
    <mergeCell ref="O285:Q285"/>
    <mergeCell ref="R285:S285"/>
    <mergeCell ref="T285:U285"/>
    <mergeCell ref="V285:W285"/>
    <mergeCell ref="X285:Y285"/>
    <mergeCell ref="C285:F285"/>
    <mergeCell ref="C286:F286"/>
    <mergeCell ref="G286:J286"/>
    <mergeCell ref="K286:N286"/>
    <mergeCell ref="O286:Q286"/>
    <mergeCell ref="R286:S286"/>
    <mergeCell ref="T286:U286"/>
    <mergeCell ref="T287:U287"/>
    <mergeCell ref="V287:W287"/>
    <mergeCell ref="V286:W286"/>
    <mergeCell ref="X286:Y286"/>
    <mergeCell ref="G287:J287"/>
    <mergeCell ref="K287:N287"/>
    <mergeCell ref="O287:Q287"/>
    <mergeCell ref="R287:S287"/>
    <mergeCell ref="X287:Y287"/>
    <mergeCell ref="O280:Q280"/>
    <mergeCell ref="R280:S280"/>
    <mergeCell ref="C273:F273"/>
    <mergeCell ref="C279:F279"/>
    <mergeCell ref="G279:J279"/>
    <mergeCell ref="K279:W279"/>
    <mergeCell ref="C280:F280"/>
    <mergeCell ref="G280:J280"/>
    <mergeCell ref="K280:N280"/>
    <mergeCell ref="G281:J281"/>
    <mergeCell ref="K281:N281"/>
    <mergeCell ref="O281:Q281"/>
    <mergeCell ref="R281:S281"/>
    <mergeCell ref="T281:U281"/>
    <mergeCell ref="V281:W281"/>
    <mergeCell ref="X281:Y281"/>
    <mergeCell ref="V282:W282"/>
    <mergeCell ref="X282:Y282"/>
    <mergeCell ref="C281:F281"/>
    <mergeCell ref="C282:F282"/>
    <mergeCell ref="G282:J282"/>
    <mergeCell ref="K282:N282"/>
    <mergeCell ref="O282:Q282"/>
    <mergeCell ref="R282:S282"/>
    <mergeCell ref="T282:U282"/>
    <mergeCell ref="V284:W284"/>
    <mergeCell ref="X284:Y284"/>
    <mergeCell ref="T294:U294"/>
    <mergeCell ref="V294:W294"/>
    <mergeCell ref="X294:Y294"/>
    <mergeCell ref="G297:J297"/>
    <mergeCell ref="K297:N297"/>
    <mergeCell ref="O297:Q297"/>
    <mergeCell ref="R297:S297"/>
    <mergeCell ref="T297:U297"/>
    <mergeCell ref="V297:W297"/>
    <mergeCell ref="X297:Y297"/>
    <mergeCell ref="C297:F297"/>
    <mergeCell ref="C298:F298"/>
    <mergeCell ref="G298:J298"/>
    <mergeCell ref="K298:N298"/>
    <mergeCell ref="O298:Q298"/>
    <mergeCell ref="R298:S298"/>
    <mergeCell ref="T298:U298"/>
    <mergeCell ref="G299:J299"/>
    <mergeCell ref="K299:N299"/>
    <mergeCell ref="O299:Q299"/>
    <mergeCell ref="R299:S299"/>
    <mergeCell ref="T299:U299"/>
    <mergeCell ref="V299:W299"/>
    <mergeCell ref="X299:Y299"/>
    <mergeCell ref="C299:F299"/>
    <mergeCell ref="C300:F300"/>
    <mergeCell ref="G300:J300"/>
    <mergeCell ref="K300:N300"/>
    <mergeCell ref="O300:Q300"/>
    <mergeCell ref="R300:S300"/>
    <mergeCell ref="T300:U300"/>
    <mergeCell ref="T301:U301"/>
    <mergeCell ref="V301:W301"/>
    <mergeCell ref="V300:W300"/>
    <mergeCell ref="X300:Y300"/>
    <mergeCell ref="G301:J301"/>
    <mergeCell ref="K301:N301"/>
    <mergeCell ref="O301:Q301"/>
    <mergeCell ref="R301:S301"/>
    <mergeCell ref="X301:Y301"/>
    <mergeCell ref="G311:J311"/>
    <mergeCell ref="K311:N311"/>
    <mergeCell ref="O311:Q311"/>
    <mergeCell ref="R311:S311"/>
    <mergeCell ref="T311:U311"/>
    <mergeCell ref="V311:W311"/>
    <mergeCell ref="X311:Y311"/>
    <mergeCell ref="C311:F311"/>
    <mergeCell ref="C312:F312"/>
    <mergeCell ref="G312:J312"/>
    <mergeCell ref="K312:N312"/>
    <mergeCell ref="O312:Q312"/>
    <mergeCell ref="R312:S312"/>
    <mergeCell ref="T312:U312"/>
    <mergeCell ref="V132:W132"/>
    <mergeCell ref="X132:Y132"/>
    <mergeCell ref="C131:F131"/>
    <mergeCell ref="C132:F132"/>
    <mergeCell ref="G132:J132"/>
    <mergeCell ref="K132:N132"/>
    <mergeCell ref="O132:Q132"/>
    <mergeCell ref="R132:S132"/>
    <mergeCell ref="T132:U132"/>
    <mergeCell ref="O126:Q126"/>
    <mergeCell ref="R126:S126"/>
    <mergeCell ref="T126:U126"/>
    <mergeCell ref="V126:W126"/>
    <mergeCell ref="X126:Y126"/>
    <mergeCell ref="C119:F119"/>
    <mergeCell ref="C125:F125"/>
    <mergeCell ref="G125:J125"/>
    <mergeCell ref="K125:W125"/>
    <mergeCell ref="C126:F126"/>
    <mergeCell ref="G126:J126"/>
    <mergeCell ref="K126:N126"/>
    <mergeCell ref="G127:J127"/>
    <mergeCell ref="K127:N127"/>
    <mergeCell ref="O127:Q127"/>
    <mergeCell ref="R127:S127"/>
    <mergeCell ref="T127:U127"/>
    <mergeCell ref="V127:W127"/>
    <mergeCell ref="X127:Y127"/>
    <mergeCell ref="V128:W128"/>
    <mergeCell ref="X128:Y128"/>
    <mergeCell ref="C127:F127"/>
    <mergeCell ref="C128:F128"/>
    <mergeCell ref="G128:J128"/>
    <mergeCell ref="K128:N128"/>
    <mergeCell ref="O128:Q128"/>
    <mergeCell ref="R128:S128"/>
    <mergeCell ref="T128:U128"/>
    <mergeCell ref="G133:J133"/>
    <mergeCell ref="K133:N133"/>
    <mergeCell ref="O133:Q133"/>
    <mergeCell ref="R133:S133"/>
    <mergeCell ref="T133:U133"/>
    <mergeCell ref="V133:W133"/>
    <mergeCell ref="X133:Y133"/>
    <mergeCell ref="G115:J115"/>
    <mergeCell ref="K115:N115"/>
    <mergeCell ref="O115:Q115"/>
    <mergeCell ref="R115:S115"/>
    <mergeCell ref="T115:U115"/>
    <mergeCell ref="V115:W115"/>
    <mergeCell ref="X115:Y115"/>
    <mergeCell ref="C115:F115"/>
    <mergeCell ref="C116:F116"/>
    <mergeCell ref="G116:J116"/>
    <mergeCell ref="K116:N116"/>
    <mergeCell ref="O116:Q116"/>
    <mergeCell ref="R116:S116"/>
    <mergeCell ref="T116:U116"/>
    <mergeCell ref="T117:U117"/>
    <mergeCell ref="V117:W117"/>
    <mergeCell ref="V116:W116"/>
    <mergeCell ref="X116:Y116"/>
    <mergeCell ref="G117:J117"/>
    <mergeCell ref="K117:N117"/>
    <mergeCell ref="O117:Q117"/>
    <mergeCell ref="R117:S117"/>
    <mergeCell ref="X117:Y117"/>
    <mergeCell ref="V118:W118"/>
    <mergeCell ref="X118:Y118"/>
    <mergeCell ref="C117:F117"/>
    <mergeCell ref="C118:F118"/>
    <mergeCell ref="G118:J118"/>
    <mergeCell ref="K118:N118"/>
    <mergeCell ref="O118:Q118"/>
    <mergeCell ref="R118:S118"/>
    <mergeCell ref="T118:U118"/>
    <mergeCell ref="G104:J104"/>
    <mergeCell ref="K104:N104"/>
    <mergeCell ref="O104:Q104"/>
    <mergeCell ref="R104:S104"/>
    <mergeCell ref="T104:U104"/>
    <mergeCell ref="V104:W104"/>
    <mergeCell ref="X104:Y104"/>
    <mergeCell ref="C104:F104"/>
    <mergeCell ref="C105:F105"/>
    <mergeCell ref="G105:J105"/>
    <mergeCell ref="K105:N105"/>
    <mergeCell ref="O105:Q105"/>
    <mergeCell ref="R105:S105"/>
    <mergeCell ref="T105:U105"/>
    <mergeCell ref="R112:S112"/>
    <mergeCell ref="T112:U112"/>
    <mergeCell ref="V112:W112"/>
    <mergeCell ref="X112:Y112"/>
    <mergeCell ref="C111:F111"/>
    <mergeCell ref="G111:J111"/>
    <mergeCell ref="K111:W111"/>
    <mergeCell ref="C112:F112"/>
    <mergeCell ref="G112:J112"/>
    <mergeCell ref="K112:N112"/>
    <mergeCell ref="O112:Q112"/>
    <mergeCell ref="V114:W114"/>
    <mergeCell ref="X114:Y114"/>
    <mergeCell ref="G119:J119"/>
    <mergeCell ref="K119:N119"/>
    <mergeCell ref="O119:Q119"/>
    <mergeCell ref="R119:S119"/>
    <mergeCell ref="T119:U119"/>
    <mergeCell ref="V119:W119"/>
    <mergeCell ref="X119:Y119"/>
    <mergeCell ref="G129:J129"/>
    <mergeCell ref="K129:N129"/>
    <mergeCell ref="O129:Q129"/>
    <mergeCell ref="R129:S129"/>
    <mergeCell ref="T129:U129"/>
    <mergeCell ref="V129:W129"/>
    <mergeCell ref="X129:Y129"/>
    <mergeCell ref="C129:F129"/>
    <mergeCell ref="C130:F130"/>
    <mergeCell ref="G130:J130"/>
    <mergeCell ref="K130:N130"/>
    <mergeCell ref="O130:Q130"/>
    <mergeCell ref="R130:S130"/>
    <mergeCell ref="T130:U130"/>
    <mergeCell ref="T131:U131"/>
    <mergeCell ref="V131:W131"/>
    <mergeCell ref="V130:W130"/>
    <mergeCell ref="X130:Y130"/>
    <mergeCell ref="G131:J131"/>
    <mergeCell ref="K131:N131"/>
    <mergeCell ref="O131:Q131"/>
    <mergeCell ref="R131:S131"/>
    <mergeCell ref="X131:Y131"/>
    <mergeCell ref="T145:U145"/>
    <mergeCell ref="V145:W145"/>
    <mergeCell ref="V144:W144"/>
    <mergeCell ref="X144:Y144"/>
    <mergeCell ref="G145:J145"/>
    <mergeCell ref="K145:N145"/>
    <mergeCell ref="O145:Q145"/>
    <mergeCell ref="R145:S145"/>
    <mergeCell ref="X145:Y145"/>
    <mergeCell ref="G143:J143"/>
    <mergeCell ref="K143:N143"/>
    <mergeCell ref="O143:Q143"/>
    <mergeCell ref="R143:S143"/>
    <mergeCell ref="T143:U143"/>
    <mergeCell ref="V143:W143"/>
    <mergeCell ref="X143:Y143"/>
    <mergeCell ref="C143:F143"/>
    <mergeCell ref="C144:F144"/>
    <mergeCell ref="G144:J144"/>
    <mergeCell ref="K144:N144"/>
    <mergeCell ref="O144:Q144"/>
    <mergeCell ref="R144:S144"/>
    <mergeCell ref="T144:U144"/>
    <mergeCell ref="V146:W146"/>
    <mergeCell ref="X146:Y146"/>
    <mergeCell ref="C145:F145"/>
    <mergeCell ref="C146:F146"/>
    <mergeCell ref="G146:J146"/>
    <mergeCell ref="K146:N146"/>
    <mergeCell ref="O146:Q146"/>
    <mergeCell ref="R146:S146"/>
    <mergeCell ref="T146:U146"/>
    <mergeCell ref="O140:Q140"/>
    <mergeCell ref="R140:S140"/>
    <mergeCell ref="T140:U140"/>
    <mergeCell ref="V140:W140"/>
    <mergeCell ref="X140:Y140"/>
    <mergeCell ref="C133:F133"/>
    <mergeCell ref="C139:F139"/>
    <mergeCell ref="G139:J139"/>
    <mergeCell ref="K139:W139"/>
    <mergeCell ref="C140:F140"/>
    <mergeCell ref="G140:J140"/>
    <mergeCell ref="K140:N140"/>
    <mergeCell ref="G141:J141"/>
    <mergeCell ref="K141:N141"/>
    <mergeCell ref="O141:Q141"/>
    <mergeCell ref="R141:S141"/>
    <mergeCell ref="T141:U141"/>
    <mergeCell ref="V141:W141"/>
    <mergeCell ref="X141:Y141"/>
    <mergeCell ref="V142:W142"/>
    <mergeCell ref="X142:Y142"/>
    <mergeCell ref="C141:F141"/>
    <mergeCell ref="C142:F142"/>
    <mergeCell ref="G142:J142"/>
    <mergeCell ref="K142:N142"/>
    <mergeCell ref="O142:Q142"/>
    <mergeCell ref="R142:S142"/>
    <mergeCell ref="T142:U142"/>
    <mergeCell ref="G147:J147"/>
    <mergeCell ref="K147:N147"/>
    <mergeCell ref="O147:Q147"/>
    <mergeCell ref="R147:S147"/>
    <mergeCell ref="T147:U147"/>
    <mergeCell ref="V147:W147"/>
    <mergeCell ref="X147:Y147"/>
    <mergeCell ref="G157:J157"/>
    <mergeCell ref="K157:N157"/>
    <mergeCell ref="O157:Q157"/>
    <mergeCell ref="R157:S157"/>
    <mergeCell ref="T157:U157"/>
    <mergeCell ref="V157:W157"/>
    <mergeCell ref="X157:Y157"/>
    <mergeCell ref="C157:F157"/>
    <mergeCell ref="C158:F158"/>
    <mergeCell ref="G158:J158"/>
    <mergeCell ref="K158:N158"/>
    <mergeCell ref="O158:Q158"/>
    <mergeCell ref="R158:S158"/>
    <mergeCell ref="T158:U158"/>
    <mergeCell ref="T159:U159"/>
    <mergeCell ref="V159:W159"/>
    <mergeCell ref="V158:W158"/>
    <mergeCell ref="X158:Y158"/>
    <mergeCell ref="G159:J159"/>
    <mergeCell ref="K159:N159"/>
    <mergeCell ref="O159:Q159"/>
    <mergeCell ref="R159:S159"/>
    <mergeCell ref="X159:Y159"/>
    <mergeCell ref="V160:W160"/>
    <mergeCell ref="X160:Y160"/>
    <mergeCell ref="C159:F159"/>
    <mergeCell ref="C160:F160"/>
    <mergeCell ref="G160:J160"/>
    <mergeCell ref="K160:N160"/>
    <mergeCell ref="O160:Q160"/>
    <mergeCell ref="R160:S160"/>
    <mergeCell ref="T160:U160"/>
    <mergeCell ref="O154:Q154"/>
    <mergeCell ref="R154:S154"/>
    <mergeCell ref="T154:U154"/>
    <mergeCell ref="V154:W154"/>
    <mergeCell ref="X154:Y154"/>
    <mergeCell ref="C147:F147"/>
    <mergeCell ref="C153:F153"/>
    <mergeCell ref="G153:J153"/>
    <mergeCell ref="K153:W153"/>
    <mergeCell ref="C154:F154"/>
    <mergeCell ref="G154:J154"/>
    <mergeCell ref="K154:N154"/>
    <mergeCell ref="G155:J155"/>
    <mergeCell ref="K155:N155"/>
    <mergeCell ref="O155:Q155"/>
    <mergeCell ref="R155:S155"/>
    <mergeCell ref="T155:U155"/>
    <mergeCell ref="V155:W155"/>
    <mergeCell ref="X155:Y155"/>
    <mergeCell ref="V156:W156"/>
    <mergeCell ref="X156:Y156"/>
    <mergeCell ref="C155:F155"/>
    <mergeCell ref="C156:F156"/>
    <mergeCell ref="G156:J156"/>
    <mergeCell ref="K156:N156"/>
    <mergeCell ref="O156:Q156"/>
    <mergeCell ref="R156:S156"/>
    <mergeCell ref="T156:U156"/>
    <mergeCell ref="G161:J161"/>
    <mergeCell ref="K161:N161"/>
    <mergeCell ref="O161:Q161"/>
    <mergeCell ref="R161:S161"/>
    <mergeCell ref="T161:U161"/>
    <mergeCell ref="V161:W161"/>
    <mergeCell ref="X161:Y161"/>
    <mergeCell ref="V188:W188"/>
    <mergeCell ref="X188:Y188"/>
    <mergeCell ref="C187:F187"/>
    <mergeCell ref="C188:F188"/>
    <mergeCell ref="G188:J188"/>
    <mergeCell ref="K188:N188"/>
    <mergeCell ref="O188:Q188"/>
    <mergeCell ref="R188:S188"/>
    <mergeCell ref="T188:U188"/>
    <mergeCell ref="O182:Q182"/>
    <mergeCell ref="R182:S182"/>
    <mergeCell ref="T182:U182"/>
    <mergeCell ref="V182:W182"/>
    <mergeCell ref="X182:Y182"/>
    <mergeCell ref="C175:F175"/>
    <mergeCell ref="C181:F181"/>
    <mergeCell ref="G181:J181"/>
    <mergeCell ref="K181:W181"/>
    <mergeCell ref="C182:F182"/>
    <mergeCell ref="G182:J182"/>
    <mergeCell ref="K182:N182"/>
    <mergeCell ref="G183:J183"/>
    <mergeCell ref="K183:N183"/>
    <mergeCell ref="O183:Q183"/>
    <mergeCell ref="R183:S183"/>
    <mergeCell ref="T183:U183"/>
    <mergeCell ref="V183:W183"/>
    <mergeCell ref="X183:Y183"/>
    <mergeCell ref="V184:W184"/>
    <mergeCell ref="X184:Y184"/>
    <mergeCell ref="C183:F183"/>
    <mergeCell ref="C184:F184"/>
    <mergeCell ref="G184:J184"/>
    <mergeCell ref="K184:N184"/>
    <mergeCell ref="O184:Q184"/>
    <mergeCell ref="R184:S184"/>
    <mergeCell ref="T184:U184"/>
    <mergeCell ref="G189:J189"/>
    <mergeCell ref="K189:N189"/>
    <mergeCell ref="O189:Q189"/>
    <mergeCell ref="R189:S189"/>
    <mergeCell ref="T189:U189"/>
    <mergeCell ref="V189:W189"/>
    <mergeCell ref="X189:Y189"/>
    <mergeCell ref="G171:J171"/>
    <mergeCell ref="K171:N171"/>
    <mergeCell ref="O171:Q171"/>
    <mergeCell ref="R171:S171"/>
    <mergeCell ref="T171:U171"/>
    <mergeCell ref="V171:W171"/>
    <mergeCell ref="X171:Y171"/>
    <mergeCell ref="C171:F171"/>
    <mergeCell ref="C172:F172"/>
    <mergeCell ref="G172:J172"/>
    <mergeCell ref="K172:N172"/>
    <mergeCell ref="O172:Q172"/>
    <mergeCell ref="R172:S172"/>
    <mergeCell ref="T172:U172"/>
    <mergeCell ref="T173:U173"/>
    <mergeCell ref="V173:W173"/>
    <mergeCell ref="V172:W172"/>
    <mergeCell ref="X172:Y172"/>
    <mergeCell ref="G173:J173"/>
    <mergeCell ref="K173:N173"/>
    <mergeCell ref="O173:Q173"/>
    <mergeCell ref="R173:S173"/>
    <mergeCell ref="X173:Y173"/>
    <mergeCell ref="V174:W174"/>
    <mergeCell ref="X174:Y174"/>
    <mergeCell ref="C173:F173"/>
    <mergeCell ref="C174:F174"/>
    <mergeCell ref="G174:J174"/>
    <mergeCell ref="K174:N174"/>
    <mergeCell ref="O174:Q174"/>
    <mergeCell ref="R174:S174"/>
    <mergeCell ref="T174:U174"/>
    <mergeCell ref="O168:Q168"/>
    <mergeCell ref="R168:S168"/>
    <mergeCell ref="T168:U168"/>
    <mergeCell ref="V168:W168"/>
    <mergeCell ref="X168:Y168"/>
    <mergeCell ref="C161:F161"/>
    <mergeCell ref="C167:F167"/>
    <mergeCell ref="G167:J167"/>
    <mergeCell ref="K167:W167"/>
    <mergeCell ref="C168:F168"/>
    <mergeCell ref="G168:J168"/>
    <mergeCell ref="K168:N168"/>
    <mergeCell ref="G169:J169"/>
    <mergeCell ref="K169:N169"/>
    <mergeCell ref="O169:Q169"/>
    <mergeCell ref="R169:S169"/>
    <mergeCell ref="T169:U169"/>
    <mergeCell ref="V169:W169"/>
    <mergeCell ref="X169:Y169"/>
    <mergeCell ref="V170:W170"/>
    <mergeCell ref="X170:Y170"/>
    <mergeCell ref="C169:F169"/>
    <mergeCell ref="C170:F170"/>
    <mergeCell ref="G170:J170"/>
    <mergeCell ref="K170:N170"/>
    <mergeCell ref="O170:Q170"/>
    <mergeCell ref="R170:S170"/>
    <mergeCell ref="T170:U170"/>
    <mergeCell ref="G175:J175"/>
    <mergeCell ref="K175:N175"/>
    <mergeCell ref="O175:Q175"/>
    <mergeCell ref="R175:S175"/>
    <mergeCell ref="T175:U175"/>
    <mergeCell ref="V175:W175"/>
    <mergeCell ref="X175:Y175"/>
    <mergeCell ref="G185:J185"/>
    <mergeCell ref="K185:N185"/>
    <mergeCell ref="O185:Q185"/>
    <mergeCell ref="R185:S185"/>
    <mergeCell ref="T185:U185"/>
    <mergeCell ref="V185:W185"/>
    <mergeCell ref="X185:Y185"/>
    <mergeCell ref="C185:F185"/>
    <mergeCell ref="C186:F186"/>
    <mergeCell ref="G186:J186"/>
    <mergeCell ref="K186:N186"/>
    <mergeCell ref="O186:Q186"/>
    <mergeCell ref="R186:S186"/>
    <mergeCell ref="T186:U186"/>
    <mergeCell ref="T187:U187"/>
    <mergeCell ref="V187:W187"/>
    <mergeCell ref="V186:W186"/>
    <mergeCell ref="X186:Y186"/>
    <mergeCell ref="G187:J187"/>
    <mergeCell ref="K187:N187"/>
    <mergeCell ref="O187:Q187"/>
    <mergeCell ref="R187:S187"/>
    <mergeCell ref="X187:Y187"/>
    <mergeCell ref="T201:U201"/>
    <mergeCell ref="V201:W201"/>
    <mergeCell ref="V200:W200"/>
    <mergeCell ref="X200:Y200"/>
    <mergeCell ref="G201:J201"/>
    <mergeCell ref="K201:N201"/>
    <mergeCell ref="O201:Q201"/>
    <mergeCell ref="R201:S201"/>
    <mergeCell ref="X201:Y201"/>
    <mergeCell ref="G199:J199"/>
    <mergeCell ref="K199:N199"/>
    <mergeCell ref="O199:Q199"/>
    <mergeCell ref="R199:S199"/>
    <mergeCell ref="T199:U199"/>
    <mergeCell ref="V199:W199"/>
    <mergeCell ref="X199:Y199"/>
    <mergeCell ref="C199:F199"/>
    <mergeCell ref="C200:F200"/>
    <mergeCell ref="G200:J200"/>
    <mergeCell ref="K200:N200"/>
    <mergeCell ref="O200:Q200"/>
    <mergeCell ref="R200:S200"/>
    <mergeCell ref="T200:U200"/>
    <mergeCell ref="V202:W202"/>
    <mergeCell ref="X202:Y202"/>
    <mergeCell ref="C201:F201"/>
    <mergeCell ref="C202:F202"/>
    <mergeCell ref="G202:J202"/>
    <mergeCell ref="K202:N202"/>
    <mergeCell ref="O202:Q202"/>
    <mergeCell ref="R202:S202"/>
    <mergeCell ref="T202:U202"/>
    <mergeCell ref="O196:Q196"/>
    <mergeCell ref="R196:S196"/>
    <mergeCell ref="T196:U196"/>
    <mergeCell ref="V196:W196"/>
    <mergeCell ref="X196:Y196"/>
    <mergeCell ref="C189:F189"/>
    <mergeCell ref="C195:F195"/>
    <mergeCell ref="G195:J195"/>
    <mergeCell ref="K195:W195"/>
    <mergeCell ref="C196:F196"/>
    <mergeCell ref="G196:J196"/>
    <mergeCell ref="K196:N196"/>
    <mergeCell ref="G197:J197"/>
    <mergeCell ref="K197:N197"/>
    <mergeCell ref="O197:Q197"/>
    <mergeCell ref="R197:S197"/>
    <mergeCell ref="T197:U197"/>
    <mergeCell ref="V197:W197"/>
    <mergeCell ref="X197:Y197"/>
    <mergeCell ref="V198:W198"/>
    <mergeCell ref="X198:Y198"/>
    <mergeCell ref="C197:F197"/>
    <mergeCell ref="C198:F198"/>
    <mergeCell ref="G198:J198"/>
    <mergeCell ref="K198:N198"/>
    <mergeCell ref="O198:Q198"/>
    <mergeCell ref="R198:S198"/>
    <mergeCell ref="T198:U198"/>
    <mergeCell ref="G203:J203"/>
    <mergeCell ref="K203:N203"/>
    <mergeCell ref="O203:Q203"/>
    <mergeCell ref="R203:S203"/>
    <mergeCell ref="T203:U203"/>
    <mergeCell ref="V203:W203"/>
    <mergeCell ref="X203:Y203"/>
    <mergeCell ref="G213:J213"/>
    <mergeCell ref="K213:N213"/>
    <mergeCell ref="O213:Q213"/>
    <mergeCell ref="R213:S213"/>
    <mergeCell ref="T213:U213"/>
    <mergeCell ref="V213:W213"/>
    <mergeCell ref="X213:Y213"/>
    <mergeCell ref="C213:F213"/>
    <mergeCell ref="C214:F214"/>
    <mergeCell ref="G214:J214"/>
    <mergeCell ref="K214:N214"/>
    <mergeCell ref="O214:Q214"/>
    <mergeCell ref="R214:S214"/>
    <mergeCell ref="T214:U214"/>
    <mergeCell ref="T215:U215"/>
    <mergeCell ref="V215:W215"/>
    <mergeCell ref="V214:W214"/>
    <mergeCell ref="X214:Y214"/>
    <mergeCell ref="G215:J215"/>
    <mergeCell ref="K215:N215"/>
    <mergeCell ref="O215:Q215"/>
    <mergeCell ref="R215:S215"/>
    <mergeCell ref="X215:Y215"/>
    <mergeCell ref="V216:W216"/>
    <mergeCell ref="X216:Y216"/>
    <mergeCell ref="C215:F215"/>
    <mergeCell ref="C216:F216"/>
    <mergeCell ref="G216:J216"/>
    <mergeCell ref="K216:N216"/>
    <mergeCell ref="O216:Q216"/>
    <mergeCell ref="R216:S216"/>
    <mergeCell ref="T216:U216"/>
    <mergeCell ref="O210:Q210"/>
    <mergeCell ref="R210:S210"/>
    <mergeCell ref="T210:U210"/>
    <mergeCell ref="V210:W210"/>
    <mergeCell ref="X210:Y210"/>
    <mergeCell ref="C203:F203"/>
    <mergeCell ref="C209:F209"/>
    <mergeCell ref="G209:J209"/>
    <mergeCell ref="K209:W209"/>
    <mergeCell ref="C210:F210"/>
    <mergeCell ref="G210:J210"/>
    <mergeCell ref="K210:N210"/>
    <mergeCell ref="G211:J211"/>
    <mergeCell ref="K211:N211"/>
    <mergeCell ref="O211:Q211"/>
    <mergeCell ref="R211:S211"/>
    <mergeCell ref="T211:U211"/>
    <mergeCell ref="V211:W211"/>
    <mergeCell ref="X211:Y211"/>
    <mergeCell ref="V212:W212"/>
    <mergeCell ref="X212:Y212"/>
    <mergeCell ref="C211:F211"/>
    <mergeCell ref="C212:F212"/>
    <mergeCell ref="G212:J212"/>
    <mergeCell ref="K212:N212"/>
    <mergeCell ref="O212:Q212"/>
    <mergeCell ref="R212:S212"/>
    <mergeCell ref="T212:U212"/>
    <mergeCell ref="G217:J217"/>
    <mergeCell ref="K217:N217"/>
    <mergeCell ref="O217:Q217"/>
    <mergeCell ref="R217:S217"/>
    <mergeCell ref="T217:U217"/>
    <mergeCell ref="V217:W217"/>
    <mergeCell ref="X217:Y217"/>
    <mergeCell ref="G227:J227"/>
    <mergeCell ref="K227:N227"/>
    <mergeCell ref="O227:Q227"/>
    <mergeCell ref="R227:S227"/>
    <mergeCell ref="T227:U227"/>
    <mergeCell ref="V227:W227"/>
    <mergeCell ref="X227:Y227"/>
    <mergeCell ref="C227:F227"/>
    <mergeCell ref="C228:F228"/>
    <mergeCell ref="G228:J228"/>
    <mergeCell ref="K228:N228"/>
    <mergeCell ref="O228:Q228"/>
    <mergeCell ref="R228:S228"/>
    <mergeCell ref="T228:U228"/>
    <mergeCell ref="T229:U229"/>
    <mergeCell ref="V229:W229"/>
    <mergeCell ref="V228:W228"/>
    <mergeCell ref="X228:Y228"/>
    <mergeCell ref="G229:J229"/>
    <mergeCell ref="K229:N229"/>
    <mergeCell ref="O229:Q229"/>
    <mergeCell ref="R229:S229"/>
    <mergeCell ref="X229:Y229"/>
    <mergeCell ref="O224:Q224"/>
    <mergeCell ref="R224:S224"/>
    <mergeCell ref="T224:U224"/>
    <mergeCell ref="V224:W224"/>
    <mergeCell ref="X224:Y224"/>
    <mergeCell ref="C217:F217"/>
    <mergeCell ref="C223:F223"/>
    <mergeCell ref="G223:J223"/>
    <mergeCell ref="K223:W223"/>
    <mergeCell ref="C224:F224"/>
    <mergeCell ref="G224:J224"/>
    <mergeCell ref="K224:N224"/>
    <mergeCell ref="G225:J225"/>
    <mergeCell ref="K225:N225"/>
    <mergeCell ref="O225:Q225"/>
    <mergeCell ref="R225:S225"/>
    <mergeCell ref="T225:U225"/>
    <mergeCell ref="V225:W225"/>
    <mergeCell ref="X225:Y225"/>
    <mergeCell ref="V226:W226"/>
    <mergeCell ref="X226:Y226"/>
    <mergeCell ref="C225:F225"/>
    <mergeCell ref="C226:F226"/>
    <mergeCell ref="G226:J226"/>
    <mergeCell ref="K226:N226"/>
    <mergeCell ref="O226:Q226"/>
    <mergeCell ref="R226:S226"/>
    <mergeCell ref="T226:U226"/>
    <mergeCell ref="T238:U238"/>
    <mergeCell ref="V238:W238"/>
    <mergeCell ref="X238:Y238"/>
    <mergeCell ref="G241:J241"/>
    <mergeCell ref="K241:N241"/>
    <mergeCell ref="O241:Q241"/>
    <mergeCell ref="R241:S241"/>
    <mergeCell ref="T241:U241"/>
    <mergeCell ref="V241:W241"/>
    <mergeCell ref="X241:Y241"/>
    <mergeCell ref="C241:F241"/>
    <mergeCell ref="C242:F242"/>
    <mergeCell ref="G242:J242"/>
    <mergeCell ref="K242:N242"/>
    <mergeCell ref="O242:Q242"/>
    <mergeCell ref="R242:S242"/>
    <mergeCell ref="T242:U242"/>
    <mergeCell ref="G243:J243"/>
    <mergeCell ref="K243:N243"/>
    <mergeCell ref="O243:Q243"/>
    <mergeCell ref="R243:S243"/>
    <mergeCell ref="T243:U243"/>
    <mergeCell ref="V243:W243"/>
    <mergeCell ref="X243:Y243"/>
    <mergeCell ref="C243:F243"/>
    <mergeCell ref="C244:F244"/>
    <mergeCell ref="G244:J244"/>
    <mergeCell ref="K244:N244"/>
    <mergeCell ref="O244:Q244"/>
    <mergeCell ref="R244:S244"/>
    <mergeCell ref="T244:U244"/>
    <mergeCell ref="T245:U245"/>
    <mergeCell ref="V245:W245"/>
    <mergeCell ref="V244:W244"/>
    <mergeCell ref="X244:Y244"/>
    <mergeCell ref="G245:J245"/>
    <mergeCell ref="K245:N245"/>
    <mergeCell ref="O245:Q245"/>
    <mergeCell ref="R245:S245"/>
    <mergeCell ref="X245:Y245"/>
    <mergeCell ref="G255:J255"/>
    <mergeCell ref="K255:N255"/>
    <mergeCell ref="O255:Q255"/>
    <mergeCell ref="R255:S255"/>
    <mergeCell ref="T255:U255"/>
    <mergeCell ref="V255:W255"/>
    <mergeCell ref="X255:Y255"/>
    <mergeCell ref="C255:F255"/>
    <mergeCell ref="C256:F256"/>
    <mergeCell ref="G256:J256"/>
    <mergeCell ref="K256:N256"/>
    <mergeCell ref="O256:Q256"/>
    <mergeCell ref="R256:S256"/>
    <mergeCell ref="T256:U25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8.38"/>
    <col customWidth="1" min="3" max="3" width="28.75"/>
    <col customWidth="1" min="4" max="9" width="3.88"/>
    <col customWidth="1" min="10" max="10" width="27.63"/>
    <col customWidth="1" min="11" max="22" width="3.88"/>
    <col customWidth="1" min="23" max="23" width="4.63"/>
    <col customWidth="1" min="24" max="24" width="17.0"/>
    <col customWidth="1" min="25" max="25" width="30.38"/>
  </cols>
  <sheetData>
    <row r="1" ht="39.0" customHeight="1">
      <c r="A1" s="137" t="s">
        <v>378</v>
      </c>
    </row>
    <row r="2" ht="28.5" customHeight="1"/>
    <row r="3" ht="51.0" customHeight="1">
      <c r="A3" s="102">
        <f>'Invetario de Tablas'!A4</f>
        <v>1</v>
      </c>
      <c r="B3" s="138" t="s">
        <v>134</v>
      </c>
      <c r="C3" s="31" t="str">
        <f>'Invetario de Tablas'!B4</f>
        <v>usuario</v>
      </c>
      <c r="D3" s="32"/>
      <c r="E3" s="32"/>
      <c r="F3" s="33"/>
      <c r="G3" s="139" t="s">
        <v>135</v>
      </c>
      <c r="H3" s="32"/>
      <c r="I3" s="32"/>
      <c r="J3" s="33"/>
      <c r="K3" s="34" t="str">
        <f>'Invetario de Tablas'!C4</f>
        <v>datos del usuario dentro de la red social</v>
      </c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3"/>
      <c r="X3" s="140" t="s">
        <v>186</v>
      </c>
      <c r="Y3" s="109" t="s">
        <v>369</v>
      </c>
    </row>
    <row r="4" ht="37.5" customHeight="1">
      <c r="A4" s="141" t="s">
        <v>1</v>
      </c>
      <c r="B4" s="142" t="s">
        <v>187</v>
      </c>
      <c r="C4" s="143" t="s">
        <v>188</v>
      </c>
      <c r="D4" s="5"/>
      <c r="E4" s="5"/>
      <c r="F4" s="6"/>
      <c r="G4" s="143" t="s">
        <v>379</v>
      </c>
      <c r="H4" s="5"/>
      <c r="I4" s="5"/>
      <c r="J4" s="6"/>
      <c r="K4" s="143" t="s">
        <v>380</v>
      </c>
      <c r="L4" s="5"/>
      <c r="M4" s="5"/>
      <c r="N4" s="6"/>
      <c r="O4" s="143" t="s">
        <v>191</v>
      </c>
      <c r="P4" s="5"/>
      <c r="Q4" s="6"/>
      <c r="R4" s="143" t="s">
        <v>192</v>
      </c>
      <c r="S4" s="6"/>
      <c r="T4" s="143" t="s">
        <v>193</v>
      </c>
      <c r="U4" s="6"/>
      <c r="V4" s="143" t="s">
        <v>194</v>
      </c>
      <c r="W4" s="6"/>
      <c r="X4" s="143" t="s">
        <v>195</v>
      </c>
      <c r="Y4" s="40"/>
    </row>
    <row r="5" ht="30.0" customHeight="1">
      <c r="A5" s="41">
        <v>1.0</v>
      </c>
      <c r="B5" s="42" t="s">
        <v>196</v>
      </c>
      <c r="C5" s="43" t="s">
        <v>197</v>
      </c>
      <c r="D5" s="5"/>
      <c r="E5" s="5"/>
      <c r="F5" s="6"/>
      <c r="G5" s="44" t="s">
        <v>198</v>
      </c>
      <c r="H5" s="5"/>
      <c r="I5" s="5"/>
      <c r="J5" s="6"/>
      <c r="K5" s="45">
        <v>15.0</v>
      </c>
      <c r="L5" s="5"/>
      <c r="M5" s="5"/>
      <c r="N5" s="6"/>
      <c r="O5" s="45" t="s">
        <v>199</v>
      </c>
      <c r="P5" s="5"/>
      <c r="Q5" s="6"/>
      <c r="R5" s="46" t="s">
        <v>200</v>
      </c>
      <c r="S5" s="6"/>
      <c r="T5" s="47"/>
      <c r="U5" s="6"/>
      <c r="V5" s="47"/>
      <c r="W5" s="6"/>
      <c r="X5" s="47"/>
      <c r="Y5" s="6"/>
    </row>
    <row r="6" ht="30.0" customHeight="1">
      <c r="A6" s="41">
        <v>2.0</v>
      </c>
      <c r="B6" s="42" t="s">
        <v>201</v>
      </c>
      <c r="C6" s="43" t="s">
        <v>202</v>
      </c>
      <c r="D6" s="5"/>
      <c r="E6" s="5"/>
      <c r="F6" s="6"/>
      <c r="G6" s="45" t="s">
        <v>203</v>
      </c>
      <c r="H6" s="5"/>
      <c r="I6" s="5"/>
      <c r="J6" s="6"/>
      <c r="K6" s="45">
        <v>50.0</v>
      </c>
      <c r="L6" s="5"/>
      <c r="M6" s="5"/>
      <c r="N6" s="6"/>
      <c r="O6" s="45" t="s">
        <v>199</v>
      </c>
      <c r="P6" s="5"/>
      <c r="Q6" s="6"/>
      <c r="R6" s="47"/>
      <c r="S6" s="6"/>
      <c r="T6" s="47"/>
      <c r="U6" s="6"/>
      <c r="V6" s="47"/>
      <c r="W6" s="6"/>
      <c r="X6" s="47"/>
      <c r="Y6" s="6"/>
    </row>
    <row r="7" ht="30.0" customHeight="1">
      <c r="A7" s="41">
        <v>3.0</v>
      </c>
      <c r="B7" s="42" t="s">
        <v>204</v>
      </c>
      <c r="C7" s="43" t="s">
        <v>205</v>
      </c>
      <c r="D7" s="5"/>
      <c r="E7" s="5"/>
      <c r="F7" s="6"/>
      <c r="G7" s="45" t="s">
        <v>203</v>
      </c>
      <c r="H7" s="5"/>
      <c r="I7" s="5"/>
      <c r="J7" s="6"/>
      <c r="K7" s="45">
        <v>50.0</v>
      </c>
      <c r="L7" s="5"/>
      <c r="M7" s="5"/>
      <c r="N7" s="6"/>
      <c r="O7" s="45" t="s">
        <v>206</v>
      </c>
      <c r="P7" s="5"/>
      <c r="Q7" s="6"/>
      <c r="R7" s="47"/>
      <c r="S7" s="6"/>
      <c r="T7" s="47"/>
      <c r="U7" s="6"/>
      <c r="V7" s="47"/>
      <c r="W7" s="6"/>
      <c r="X7" s="47"/>
      <c r="Y7" s="6"/>
    </row>
    <row r="8" ht="30.0" customHeight="1">
      <c r="A8" s="41">
        <v>4.0</v>
      </c>
      <c r="B8" s="42" t="s">
        <v>207</v>
      </c>
      <c r="C8" s="43" t="s">
        <v>208</v>
      </c>
      <c r="D8" s="5"/>
      <c r="E8" s="5"/>
      <c r="F8" s="6"/>
      <c r="G8" s="45" t="s">
        <v>203</v>
      </c>
      <c r="H8" s="5"/>
      <c r="I8" s="5"/>
      <c r="J8" s="6"/>
      <c r="K8" s="45">
        <v>50.0</v>
      </c>
      <c r="L8" s="5"/>
      <c r="M8" s="5"/>
      <c r="N8" s="6"/>
      <c r="O8" s="45" t="s">
        <v>199</v>
      </c>
      <c r="P8" s="5"/>
      <c r="Q8" s="6"/>
      <c r="R8" s="47"/>
      <c r="S8" s="6"/>
      <c r="T8" s="47"/>
      <c r="U8" s="6"/>
      <c r="V8" s="47"/>
      <c r="W8" s="6"/>
      <c r="X8" s="47"/>
      <c r="Y8" s="6"/>
    </row>
    <row r="9" ht="30.0" customHeight="1">
      <c r="A9" s="41">
        <v>5.0</v>
      </c>
      <c r="B9" s="42" t="s">
        <v>209</v>
      </c>
      <c r="C9" s="43" t="s">
        <v>210</v>
      </c>
      <c r="D9" s="5"/>
      <c r="E9" s="5"/>
      <c r="F9" s="6"/>
      <c r="G9" s="45" t="s">
        <v>203</v>
      </c>
      <c r="H9" s="5"/>
      <c r="I9" s="5"/>
      <c r="J9" s="6"/>
      <c r="K9" s="45">
        <v>50.0</v>
      </c>
      <c r="L9" s="5"/>
      <c r="M9" s="5"/>
      <c r="N9" s="6"/>
      <c r="O9" s="45" t="s">
        <v>206</v>
      </c>
      <c r="P9" s="5"/>
      <c r="Q9" s="6"/>
      <c r="R9" s="47"/>
      <c r="S9" s="6"/>
      <c r="T9" s="47"/>
      <c r="U9" s="6"/>
      <c r="V9" s="47"/>
      <c r="W9" s="6"/>
      <c r="X9" s="47"/>
      <c r="Y9" s="6"/>
    </row>
    <row r="10" ht="30.0" customHeight="1">
      <c r="A10" s="48">
        <v>6.0</v>
      </c>
      <c r="B10" s="42" t="s">
        <v>211</v>
      </c>
      <c r="C10" s="43" t="s">
        <v>212</v>
      </c>
      <c r="D10" s="5"/>
      <c r="E10" s="5"/>
      <c r="F10" s="6"/>
      <c r="G10" s="45" t="s">
        <v>203</v>
      </c>
      <c r="H10" s="5"/>
      <c r="I10" s="5"/>
      <c r="J10" s="6"/>
      <c r="K10" s="45">
        <v>100.0</v>
      </c>
      <c r="L10" s="5"/>
      <c r="M10" s="5"/>
      <c r="N10" s="6"/>
      <c r="O10" s="45" t="s">
        <v>206</v>
      </c>
      <c r="P10" s="5"/>
      <c r="Q10" s="6"/>
      <c r="R10" s="47"/>
      <c r="S10" s="6"/>
      <c r="T10" s="47"/>
      <c r="U10" s="6"/>
      <c r="V10" s="47"/>
      <c r="W10" s="6"/>
      <c r="X10" s="47"/>
      <c r="Y10" s="6"/>
    </row>
    <row r="11" ht="30.0" customHeight="1">
      <c r="A11" s="48">
        <v>7.0</v>
      </c>
      <c r="B11" s="42" t="s">
        <v>213</v>
      </c>
      <c r="C11" s="43" t="s">
        <v>214</v>
      </c>
      <c r="D11" s="5"/>
      <c r="E11" s="5"/>
      <c r="F11" s="6"/>
      <c r="G11" s="45" t="s">
        <v>203</v>
      </c>
      <c r="H11" s="5"/>
      <c r="I11" s="5"/>
      <c r="J11" s="6"/>
      <c r="K11" s="45">
        <v>100.0</v>
      </c>
      <c r="L11" s="5"/>
      <c r="M11" s="5"/>
      <c r="N11" s="6"/>
      <c r="O11" s="45" t="s">
        <v>199</v>
      </c>
      <c r="P11" s="5"/>
      <c r="Q11" s="6"/>
      <c r="R11" s="47"/>
      <c r="S11" s="6"/>
      <c r="T11" s="47"/>
      <c r="U11" s="6"/>
      <c r="V11" s="46" t="s">
        <v>200</v>
      </c>
      <c r="W11" s="6"/>
      <c r="X11" s="47"/>
      <c r="Y11" s="6"/>
    </row>
    <row r="12" ht="28.5" customHeight="1">
      <c r="A12" s="48">
        <v>8.0</v>
      </c>
      <c r="B12" s="42" t="s">
        <v>215</v>
      </c>
      <c r="C12" s="43" t="s">
        <v>216</v>
      </c>
      <c r="D12" s="5"/>
      <c r="E12" s="5"/>
      <c r="F12" s="6"/>
      <c r="G12" s="45" t="s">
        <v>203</v>
      </c>
      <c r="H12" s="5"/>
      <c r="I12" s="5"/>
      <c r="J12" s="6"/>
      <c r="K12" s="45">
        <v>15.0</v>
      </c>
      <c r="L12" s="5"/>
      <c r="M12" s="5"/>
      <c r="N12" s="6"/>
      <c r="O12" s="45" t="s">
        <v>199</v>
      </c>
      <c r="P12" s="5"/>
      <c r="Q12" s="6"/>
      <c r="R12" s="47"/>
      <c r="S12" s="6"/>
      <c r="T12" s="47"/>
      <c r="U12" s="6"/>
      <c r="V12" s="47"/>
      <c r="W12" s="6"/>
      <c r="X12" s="47"/>
      <c r="Y12" s="6"/>
    </row>
    <row r="13" ht="36.0" customHeight="1">
      <c r="A13" s="49">
        <v>9.0</v>
      </c>
      <c r="B13" s="50" t="s">
        <v>217</v>
      </c>
      <c r="C13" s="51" t="s">
        <v>218</v>
      </c>
      <c r="D13" s="5"/>
      <c r="E13" s="5"/>
      <c r="F13" s="6"/>
      <c r="G13" s="52" t="s">
        <v>203</v>
      </c>
      <c r="H13" s="5"/>
      <c r="I13" s="5"/>
      <c r="J13" s="6"/>
      <c r="K13" s="52">
        <v>30.0</v>
      </c>
      <c r="L13" s="5"/>
      <c r="M13" s="5"/>
      <c r="N13" s="6"/>
      <c r="O13" s="52" t="s">
        <v>199</v>
      </c>
      <c r="P13" s="5"/>
      <c r="Q13" s="6"/>
      <c r="R13" s="53"/>
      <c r="S13" s="6"/>
      <c r="T13" s="53"/>
      <c r="U13" s="6"/>
      <c r="V13" s="54" t="s">
        <v>200</v>
      </c>
      <c r="W13" s="6"/>
      <c r="X13" s="53"/>
      <c r="Y13" s="6"/>
    </row>
    <row r="14" ht="36.0" customHeight="1">
      <c r="A14" s="79">
        <v>10.0</v>
      </c>
      <c r="B14" s="50" t="s">
        <v>219</v>
      </c>
      <c r="C14" s="51" t="s">
        <v>220</v>
      </c>
      <c r="D14" s="5"/>
      <c r="E14" s="5"/>
      <c r="F14" s="6"/>
      <c r="G14" s="52" t="s">
        <v>221</v>
      </c>
      <c r="H14" s="5"/>
      <c r="I14" s="5"/>
      <c r="J14" s="6"/>
      <c r="K14" s="52">
        <v>6.0</v>
      </c>
      <c r="L14" s="5"/>
      <c r="M14" s="5"/>
      <c r="N14" s="6"/>
      <c r="O14" s="52" t="s">
        <v>199</v>
      </c>
      <c r="P14" s="5"/>
      <c r="Q14" s="6"/>
      <c r="R14" s="53"/>
      <c r="S14" s="6"/>
      <c r="T14" s="54" t="s">
        <v>200</v>
      </c>
      <c r="U14" s="6"/>
      <c r="V14" s="53"/>
      <c r="W14" s="6"/>
      <c r="X14" s="53"/>
      <c r="Y14" s="6"/>
    </row>
    <row r="15" ht="36.0" customHeight="1"/>
    <row r="16" ht="36.0" customHeight="1"/>
    <row r="17" ht="36.0" customHeight="1"/>
    <row r="18" ht="47.25" customHeight="1">
      <c r="A18" s="102">
        <f>'Invetario de Tablas'!A5</f>
        <v>2</v>
      </c>
      <c r="B18" s="138" t="s">
        <v>134</v>
      </c>
      <c r="C18" s="104" t="str">
        <f>'Invetario de Tablas'!B5</f>
        <v>rol</v>
      </c>
      <c r="D18" s="105"/>
      <c r="E18" s="105"/>
      <c r="F18" s="106"/>
      <c r="G18" s="139" t="s">
        <v>135</v>
      </c>
      <c r="H18" s="32"/>
      <c r="I18" s="32"/>
      <c r="J18" s="33"/>
      <c r="K18" s="107" t="str">
        <f>'Invetario de Tablas'!C5</f>
        <v>rol del usuario dentro de la red social</v>
      </c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6"/>
      <c r="X18" s="144" t="s">
        <v>186</v>
      </c>
      <c r="Y18" s="117" t="str">
        <f>Y3</f>
        <v>1.0</v>
      </c>
    </row>
    <row r="19" ht="35.25" customHeight="1">
      <c r="A19" s="145" t="s">
        <v>1</v>
      </c>
      <c r="B19" s="142" t="s">
        <v>187</v>
      </c>
      <c r="C19" s="146" t="s">
        <v>188</v>
      </c>
      <c r="D19" s="147"/>
      <c r="E19" s="147"/>
      <c r="F19" s="148"/>
      <c r="G19" s="143" t="s">
        <v>379</v>
      </c>
      <c r="H19" s="5"/>
      <c r="I19" s="5"/>
      <c r="J19" s="6"/>
      <c r="K19" s="146" t="s">
        <v>190</v>
      </c>
      <c r="L19" s="147"/>
      <c r="M19" s="147"/>
      <c r="N19" s="148"/>
      <c r="O19" s="146" t="s">
        <v>191</v>
      </c>
      <c r="P19" s="147"/>
      <c r="Q19" s="148"/>
      <c r="R19" s="146" t="s">
        <v>192</v>
      </c>
      <c r="S19" s="148"/>
      <c r="T19" s="146" t="s">
        <v>193</v>
      </c>
      <c r="U19" s="148"/>
      <c r="V19" s="146" t="s">
        <v>194</v>
      </c>
      <c r="W19" s="148"/>
      <c r="X19" s="143" t="s">
        <v>195</v>
      </c>
      <c r="Y19" s="40"/>
    </row>
    <row r="20" ht="30.0" customHeight="1">
      <c r="A20" s="41">
        <v>1.0</v>
      </c>
      <c r="B20" s="42" t="s">
        <v>219</v>
      </c>
      <c r="C20" s="43" t="s">
        <v>220</v>
      </c>
      <c r="D20" s="5"/>
      <c r="E20" s="5"/>
      <c r="F20" s="6"/>
      <c r="G20" s="94" t="s">
        <v>381</v>
      </c>
      <c r="H20" s="5"/>
      <c r="I20" s="5"/>
      <c r="J20" s="6"/>
      <c r="K20" s="45">
        <v>6.0</v>
      </c>
      <c r="L20" s="5"/>
      <c r="M20" s="5"/>
      <c r="N20" s="6"/>
      <c r="O20" s="45" t="s">
        <v>199</v>
      </c>
      <c r="P20" s="5"/>
      <c r="Q20" s="6"/>
      <c r="R20" s="46" t="s">
        <v>200</v>
      </c>
      <c r="S20" s="6"/>
      <c r="T20" s="47"/>
      <c r="U20" s="6"/>
      <c r="V20" s="47"/>
      <c r="W20" s="6"/>
      <c r="X20" s="47"/>
      <c r="Y20" s="6"/>
    </row>
    <row r="21" ht="30.0" customHeight="1">
      <c r="A21" s="118">
        <v>2.0</v>
      </c>
      <c r="B21" s="119" t="s">
        <v>224</v>
      </c>
      <c r="C21" s="120" t="s">
        <v>225</v>
      </c>
      <c r="D21" s="88"/>
      <c r="E21" s="88"/>
      <c r="F21" s="89"/>
      <c r="G21" s="121" t="s">
        <v>203</v>
      </c>
      <c r="H21" s="88"/>
      <c r="I21" s="88"/>
      <c r="J21" s="89"/>
      <c r="K21" s="121">
        <v>20.0</v>
      </c>
      <c r="L21" s="88"/>
      <c r="M21" s="88"/>
      <c r="N21" s="89"/>
      <c r="O21" s="121" t="s">
        <v>199</v>
      </c>
      <c r="P21" s="88"/>
      <c r="Q21" s="89"/>
      <c r="R21" s="122"/>
      <c r="S21" s="89"/>
      <c r="T21" s="122"/>
      <c r="U21" s="89"/>
      <c r="V21" s="122"/>
      <c r="W21" s="89"/>
      <c r="X21" s="122"/>
      <c r="Y21" s="89"/>
    </row>
    <row r="22" ht="30.0" customHeight="1">
      <c r="A22" s="123"/>
      <c r="B22" s="124"/>
      <c r="C22" s="124"/>
      <c r="D22" s="88"/>
      <c r="E22" s="88"/>
      <c r="F22" s="88"/>
      <c r="G22" s="124"/>
      <c r="H22" s="88"/>
      <c r="I22" s="88"/>
      <c r="J22" s="88"/>
      <c r="K22" s="124"/>
      <c r="L22" s="88"/>
      <c r="M22" s="88"/>
      <c r="N22" s="88"/>
      <c r="O22" s="124"/>
      <c r="P22" s="88"/>
      <c r="Q22" s="88"/>
      <c r="R22" s="124"/>
      <c r="S22" s="88"/>
      <c r="T22" s="124"/>
      <c r="U22" s="88"/>
      <c r="V22" s="124"/>
      <c r="W22" s="88"/>
      <c r="X22" s="124"/>
      <c r="Y22" s="88"/>
    </row>
    <row r="23" ht="30.0" customHeight="1">
      <c r="A23" s="61"/>
      <c r="B23" s="62"/>
      <c r="C23" s="62"/>
      <c r="G23" s="62"/>
      <c r="K23" s="62"/>
      <c r="O23" s="62"/>
      <c r="R23" s="62"/>
      <c r="T23" s="62"/>
      <c r="V23" s="62"/>
      <c r="X23" s="62"/>
    </row>
    <row r="24" ht="44.25" customHeight="1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</row>
    <row r="25" ht="44.25" customHeight="1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</row>
    <row r="26" ht="42.0" customHeight="1">
      <c r="A26" s="126">
        <v>3.0</v>
      </c>
      <c r="B26" s="138" t="s">
        <v>134</v>
      </c>
      <c r="C26" s="104" t="str">
        <f>'Invetario de Tablas'!B6</f>
        <v>tipo_usuario</v>
      </c>
      <c r="D26" s="105"/>
      <c r="E26" s="105"/>
      <c r="F26" s="106"/>
      <c r="G26" s="139" t="s">
        <v>135</v>
      </c>
      <c r="H26" s="32"/>
      <c r="I26" s="32"/>
      <c r="J26" s="33"/>
      <c r="K26" s="107" t="str">
        <f>'Invetario de Tablas'!C6</f>
        <v>el tipo de puesto que tiene dentro de la institucion o en la red social</v>
      </c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6"/>
      <c r="X26" s="144" t="s">
        <v>186</v>
      </c>
      <c r="Y26" s="117" t="str">
        <f>Y3</f>
        <v>1.0</v>
      </c>
    </row>
    <row r="27" ht="36.0" customHeight="1">
      <c r="A27" s="145" t="s">
        <v>1</v>
      </c>
      <c r="B27" s="142" t="s">
        <v>187</v>
      </c>
      <c r="C27" s="146" t="s">
        <v>188</v>
      </c>
      <c r="D27" s="147"/>
      <c r="E27" s="147"/>
      <c r="F27" s="148"/>
      <c r="G27" s="143" t="s">
        <v>379</v>
      </c>
      <c r="H27" s="5"/>
      <c r="I27" s="5"/>
      <c r="J27" s="6"/>
      <c r="K27" s="146" t="s">
        <v>190</v>
      </c>
      <c r="L27" s="147"/>
      <c r="M27" s="147"/>
      <c r="N27" s="148"/>
      <c r="O27" s="146" t="s">
        <v>191</v>
      </c>
      <c r="P27" s="147"/>
      <c r="Q27" s="148"/>
      <c r="R27" s="146" t="s">
        <v>192</v>
      </c>
      <c r="S27" s="148"/>
      <c r="T27" s="146" t="s">
        <v>193</v>
      </c>
      <c r="U27" s="148"/>
      <c r="V27" s="146" t="s">
        <v>194</v>
      </c>
      <c r="W27" s="148"/>
      <c r="X27" s="143" t="s">
        <v>195</v>
      </c>
      <c r="Y27" s="40"/>
    </row>
    <row r="28" ht="36.0" customHeight="1">
      <c r="A28" s="127">
        <v>1.0</v>
      </c>
      <c r="B28" s="42" t="s">
        <v>226</v>
      </c>
      <c r="C28" s="43" t="s">
        <v>227</v>
      </c>
      <c r="D28" s="5"/>
      <c r="E28" s="5"/>
      <c r="F28" s="6"/>
      <c r="G28" s="94" t="s">
        <v>381</v>
      </c>
      <c r="H28" s="5"/>
      <c r="I28" s="5"/>
      <c r="J28" s="6"/>
      <c r="K28" s="45">
        <v>5.0</v>
      </c>
      <c r="L28" s="5"/>
      <c r="M28" s="5"/>
      <c r="N28" s="6"/>
      <c r="O28" s="45" t="s">
        <v>199</v>
      </c>
      <c r="P28" s="5"/>
      <c r="Q28" s="6"/>
      <c r="R28" s="46" t="s">
        <v>200</v>
      </c>
      <c r="S28" s="6"/>
      <c r="T28" s="47"/>
      <c r="U28" s="6"/>
      <c r="V28" s="47"/>
      <c r="W28" s="6"/>
      <c r="X28" s="43" t="s">
        <v>228</v>
      </c>
      <c r="Y28" s="6"/>
    </row>
    <row r="29" ht="36.0" customHeight="1">
      <c r="A29" s="128">
        <v>2.0</v>
      </c>
      <c r="B29" s="119" t="s">
        <v>229</v>
      </c>
      <c r="C29" s="120" t="s">
        <v>230</v>
      </c>
      <c r="D29" s="88"/>
      <c r="E29" s="88"/>
      <c r="F29" s="89"/>
      <c r="G29" s="121" t="s">
        <v>203</v>
      </c>
      <c r="H29" s="88"/>
      <c r="I29" s="88"/>
      <c r="J29" s="89"/>
      <c r="K29" s="121">
        <v>20.0</v>
      </c>
      <c r="L29" s="88"/>
      <c r="M29" s="88"/>
      <c r="N29" s="89"/>
      <c r="O29" s="121" t="s">
        <v>199</v>
      </c>
      <c r="P29" s="88"/>
      <c r="Q29" s="89"/>
      <c r="R29" s="122"/>
      <c r="S29" s="89"/>
      <c r="T29" s="122"/>
      <c r="U29" s="89"/>
      <c r="V29" s="122"/>
      <c r="W29" s="89"/>
      <c r="X29" s="122"/>
      <c r="Y29" s="89"/>
    </row>
    <row r="30" ht="36.0" customHeight="1">
      <c r="A30" s="123"/>
      <c r="B30" s="124"/>
      <c r="C30" s="124"/>
      <c r="D30" s="88"/>
      <c r="E30" s="88"/>
      <c r="F30" s="88"/>
      <c r="G30" s="124"/>
      <c r="H30" s="88"/>
      <c r="I30" s="88"/>
      <c r="J30" s="88"/>
      <c r="K30" s="124"/>
      <c r="L30" s="88"/>
      <c r="M30" s="88"/>
      <c r="N30" s="88"/>
      <c r="O30" s="124"/>
      <c r="P30" s="88"/>
      <c r="Q30" s="88"/>
      <c r="R30" s="124"/>
      <c r="S30" s="88"/>
      <c r="T30" s="124"/>
      <c r="U30" s="88"/>
      <c r="V30" s="124"/>
      <c r="W30" s="88"/>
      <c r="X30" s="124"/>
      <c r="Y30" s="88"/>
    </row>
    <row r="31" ht="36.0" customHeight="1">
      <c r="A31" s="61"/>
      <c r="B31" s="62"/>
      <c r="C31" s="62"/>
      <c r="G31" s="62"/>
      <c r="K31" s="62"/>
      <c r="O31" s="62"/>
      <c r="R31" s="62"/>
      <c r="T31" s="62"/>
      <c r="V31" s="62"/>
      <c r="X31" s="62"/>
    </row>
    <row r="32" ht="39.75" customHeight="1"/>
    <row r="33" ht="39.75" customHeight="1"/>
    <row r="34" ht="39.75" customHeight="1"/>
    <row r="35" ht="39.75" customHeight="1"/>
    <row r="36" ht="39.75" customHeight="1">
      <c r="A36" s="126">
        <v>4.0</v>
      </c>
      <c r="B36" s="138" t="s">
        <v>134</v>
      </c>
      <c r="C36" s="104" t="str">
        <f>'Invetario de Tablas'!B7</f>
        <v>perfil</v>
      </c>
      <c r="D36" s="105"/>
      <c r="E36" s="105"/>
      <c r="F36" s="106"/>
      <c r="G36" s="139" t="s">
        <v>135</v>
      </c>
      <c r="H36" s="32"/>
      <c r="I36" s="32"/>
      <c r="J36" s="33"/>
      <c r="K36" s="107" t="str">
        <f>'Invetario de Tablas'!C7</f>
        <v>descripción del usuario</v>
      </c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6"/>
      <c r="X36" s="144" t="s">
        <v>186</v>
      </c>
      <c r="Y36" s="117" t="str">
        <f>Y3</f>
        <v>1.0</v>
      </c>
    </row>
    <row r="37" ht="39.75" customHeight="1">
      <c r="A37" s="145" t="s">
        <v>1</v>
      </c>
      <c r="B37" s="142" t="s">
        <v>187</v>
      </c>
      <c r="C37" s="146" t="s">
        <v>188</v>
      </c>
      <c r="D37" s="147"/>
      <c r="E37" s="147"/>
      <c r="F37" s="148"/>
      <c r="G37" s="143" t="s">
        <v>379</v>
      </c>
      <c r="H37" s="5"/>
      <c r="I37" s="5"/>
      <c r="J37" s="6"/>
      <c r="K37" s="146" t="s">
        <v>190</v>
      </c>
      <c r="L37" s="147"/>
      <c r="M37" s="147"/>
      <c r="N37" s="148"/>
      <c r="O37" s="146" t="s">
        <v>191</v>
      </c>
      <c r="P37" s="147"/>
      <c r="Q37" s="148"/>
      <c r="R37" s="146" t="s">
        <v>192</v>
      </c>
      <c r="S37" s="148"/>
      <c r="T37" s="146" t="s">
        <v>193</v>
      </c>
      <c r="U37" s="148"/>
      <c r="V37" s="146" t="s">
        <v>194</v>
      </c>
      <c r="W37" s="148"/>
      <c r="X37" s="143" t="s">
        <v>195</v>
      </c>
      <c r="Y37" s="40"/>
    </row>
    <row r="38" ht="39.75" customHeight="1">
      <c r="A38" s="127">
        <v>1.0</v>
      </c>
      <c r="B38" s="42" t="s">
        <v>196</v>
      </c>
      <c r="C38" s="43" t="s">
        <v>231</v>
      </c>
      <c r="D38" s="5"/>
      <c r="E38" s="5"/>
      <c r="F38" s="6"/>
      <c r="G38" s="116" t="s">
        <v>371</v>
      </c>
      <c r="H38" s="5"/>
      <c r="I38" s="5"/>
      <c r="J38" s="6"/>
      <c r="K38" s="45">
        <v>15.0</v>
      </c>
      <c r="L38" s="5"/>
      <c r="M38" s="5"/>
      <c r="N38" s="6"/>
      <c r="O38" s="45" t="s">
        <v>199</v>
      </c>
      <c r="P38" s="5"/>
      <c r="Q38" s="6"/>
      <c r="R38" s="68" t="s">
        <v>200</v>
      </c>
      <c r="S38" s="6"/>
      <c r="T38" s="68" t="s">
        <v>200</v>
      </c>
      <c r="U38" s="6"/>
      <c r="V38" s="47"/>
      <c r="W38" s="6"/>
      <c r="X38" s="69" t="s">
        <v>232</v>
      </c>
      <c r="Y38" s="6"/>
    </row>
    <row r="39" ht="39.75" customHeight="1">
      <c r="A39" s="127">
        <v>2.0</v>
      </c>
      <c r="B39" s="42" t="s">
        <v>233</v>
      </c>
      <c r="C39" s="43" t="s">
        <v>234</v>
      </c>
      <c r="D39" s="5"/>
      <c r="E39" s="5"/>
      <c r="F39" s="6"/>
      <c r="G39" s="45" t="s">
        <v>203</v>
      </c>
      <c r="H39" s="5"/>
      <c r="I39" s="5"/>
      <c r="J39" s="6"/>
      <c r="K39" s="45">
        <v>100.0</v>
      </c>
      <c r="L39" s="5"/>
      <c r="M39" s="5"/>
      <c r="N39" s="6"/>
      <c r="O39" s="45" t="s">
        <v>206</v>
      </c>
      <c r="P39" s="5"/>
      <c r="Q39" s="6"/>
      <c r="R39" s="47"/>
      <c r="S39" s="6"/>
      <c r="T39" s="47"/>
      <c r="U39" s="6"/>
      <c r="V39" s="47"/>
      <c r="W39" s="6"/>
      <c r="X39" s="47"/>
      <c r="Y39" s="6"/>
    </row>
    <row r="40" ht="39.75" customHeight="1">
      <c r="A40" s="128">
        <v>3.0</v>
      </c>
      <c r="B40" s="119" t="s">
        <v>235</v>
      </c>
      <c r="C40" s="120" t="s">
        <v>236</v>
      </c>
      <c r="D40" s="88"/>
      <c r="E40" s="88"/>
      <c r="F40" s="89"/>
      <c r="G40" s="121" t="s">
        <v>203</v>
      </c>
      <c r="H40" s="88"/>
      <c r="I40" s="88"/>
      <c r="J40" s="89"/>
      <c r="K40" s="121">
        <v>300.0</v>
      </c>
      <c r="L40" s="88"/>
      <c r="M40" s="88"/>
      <c r="N40" s="89"/>
      <c r="O40" s="121" t="s">
        <v>206</v>
      </c>
      <c r="P40" s="88"/>
      <c r="Q40" s="89"/>
      <c r="R40" s="122"/>
      <c r="S40" s="89"/>
      <c r="T40" s="122"/>
      <c r="U40" s="89"/>
      <c r="V40" s="122"/>
      <c r="W40" s="89"/>
      <c r="X40" s="122"/>
      <c r="Y40" s="89"/>
    </row>
    <row r="41" ht="39.75" customHeight="1">
      <c r="A41" s="123"/>
      <c r="B41" s="124"/>
      <c r="C41" s="124"/>
      <c r="D41" s="88"/>
      <c r="E41" s="88"/>
      <c r="F41" s="88"/>
      <c r="G41" s="124"/>
      <c r="H41" s="88"/>
      <c r="I41" s="88"/>
      <c r="J41" s="88"/>
      <c r="K41" s="124"/>
      <c r="L41" s="88"/>
      <c r="M41" s="88"/>
      <c r="N41" s="88"/>
      <c r="O41" s="124"/>
      <c r="P41" s="88"/>
      <c r="Q41" s="88"/>
      <c r="R41" s="124"/>
      <c r="S41" s="88"/>
      <c r="T41" s="124"/>
      <c r="U41" s="88"/>
      <c r="V41" s="124"/>
      <c r="W41" s="88"/>
      <c r="X41" s="124"/>
      <c r="Y41" s="88"/>
    </row>
    <row r="42" ht="39.75" customHeight="1">
      <c r="A42" s="61"/>
      <c r="B42" s="62"/>
      <c r="C42" s="62"/>
      <c r="G42" s="62"/>
      <c r="K42" s="62"/>
      <c r="O42" s="62"/>
      <c r="R42" s="62"/>
      <c r="T42" s="62"/>
      <c r="V42" s="62"/>
      <c r="X42" s="62"/>
    </row>
    <row r="43" ht="39.75" customHeight="1">
      <c r="A43" s="129"/>
      <c r="B43" s="62"/>
      <c r="C43" s="62"/>
      <c r="G43" s="62"/>
      <c r="K43" s="62"/>
      <c r="O43" s="62"/>
      <c r="R43" s="62"/>
      <c r="T43" s="62"/>
      <c r="V43" s="62"/>
      <c r="X43" s="62"/>
    </row>
    <row r="44" ht="39.75" customHeight="1">
      <c r="A44" s="61"/>
      <c r="B44" s="62"/>
      <c r="C44" s="62"/>
      <c r="G44" s="62"/>
      <c r="K44" s="62"/>
      <c r="O44" s="62"/>
      <c r="R44" s="62"/>
      <c r="T44" s="62"/>
      <c r="V44" s="62"/>
      <c r="X44" s="62"/>
    </row>
    <row r="45" ht="39.75" customHeight="1"/>
    <row r="46" ht="39.75" customHeight="1"/>
    <row r="47" ht="39.75" customHeight="1"/>
    <row r="48" ht="39.75" customHeight="1"/>
    <row r="49" ht="39.75" customHeight="1"/>
    <row r="50" ht="39.75" customHeight="1">
      <c r="A50" s="126">
        <v>5.0</v>
      </c>
      <c r="B50" s="138" t="s">
        <v>134</v>
      </c>
      <c r="C50" s="104" t="str">
        <f>'Invetario de Tablas'!B8</f>
        <v>publicacion</v>
      </c>
      <c r="D50" s="105"/>
      <c r="E50" s="105"/>
      <c r="F50" s="106"/>
      <c r="G50" s="139" t="s">
        <v>135</v>
      </c>
      <c r="H50" s="32"/>
      <c r="I50" s="32"/>
      <c r="J50" s="33"/>
      <c r="K50" s="107" t="str">
        <f>'Invetario de Tablas'!C8</f>
        <v>difusión informativa sobre temas de interés universitarios</v>
      </c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6"/>
      <c r="X50" s="144" t="s">
        <v>186</v>
      </c>
      <c r="Y50" s="117" t="str">
        <f>Y3</f>
        <v>1.0</v>
      </c>
    </row>
    <row r="51" ht="39.75" customHeight="1">
      <c r="A51" s="145" t="s">
        <v>1</v>
      </c>
      <c r="B51" s="142" t="s">
        <v>187</v>
      </c>
      <c r="C51" s="146" t="s">
        <v>188</v>
      </c>
      <c r="D51" s="147"/>
      <c r="E51" s="147"/>
      <c r="F51" s="148"/>
      <c r="G51" s="143" t="s">
        <v>379</v>
      </c>
      <c r="H51" s="5"/>
      <c r="I51" s="5"/>
      <c r="J51" s="6"/>
      <c r="K51" s="146" t="s">
        <v>190</v>
      </c>
      <c r="L51" s="147"/>
      <c r="M51" s="147"/>
      <c r="N51" s="148"/>
      <c r="O51" s="146" t="s">
        <v>191</v>
      </c>
      <c r="P51" s="147"/>
      <c r="Q51" s="148"/>
      <c r="R51" s="146" t="s">
        <v>192</v>
      </c>
      <c r="S51" s="148"/>
      <c r="T51" s="146" t="s">
        <v>193</v>
      </c>
      <c r="U51" s="148"/>
      <c r="V51" s="146" t="s">
        <v>194</v>
      </c>
      <c r="W51" s="148"/>
      <c r="X51" s="143" t="s">
        <v>195</v>
      </c>
      <c r="Y51" s="40"/>
    </row>
    <row r="52" ht="39.75" customHeight="1">
      <c r="A52" s="127">
        <v>1.0</v>
      </c>
      <c r="B52" s="42" t="s">
        <v>237</v>
      </c>
      <c r="C52" s="43" t="s">
        <v>238</v>
      </c>
      <c r="D52" s="5"/>
      <c r="E52" s="5"/>
      <c r="F52" s="6"/>
      <c r="G52" s="94" t="s">
        <v>381</v>
      </c>
      <c r="H52" s="5"/>
      <c r="I52" s="5"/>
      <c r="J52" s="6"/>
      <c r="K52" s="45">
        <v>200.0</v>
      </c>
      <c r="L52" s="5"/>
      <c r="M52" s="5"/>
      <c r="N52" s="6"/>
      <c r="O52" s="45" t="s">
        <v>199</v>
      </c>
      <c r="P52" s="5"/>
      <c r="Q52" s="6"/>
      <c r="R52" s="46" t="s">
        <v>200</v>
      </c>
      <c r="S52" s="6"/>
      <c r="T52" s="47"/>
      <c r="U52" s="6"/>
      <c r="V52" s="47"/>
      <c r="W52" s="6"/>
      <c r="X52" s="47"/>
      <c r="Y52" s="6"/>
    </row>
    <row r="53" ht="39.75" customHeight="1">
      <c r="A53" s="127">
        <v>2.0</v>
      </c>
      <c r="B53" s="42" t="s">
        <v>239</v>
      </c>
      <c r="C53" s="43" t="s">
        <v>240</v>
      </c>
      <c r="D53" s="5"/>
      <c r="E53" s="5"/>
      <c r="F53" s="6"/>
      <c r="G53" s="45" t="s">
        <v>203</v>
      </c>
      <c r="H53" s="5"/>
      <c r="I53" s="5"/>
      <c r="J53" s="6"/>
      <c r="K53" s="45">
        <v>50.0</v>
      </c>
      <c r="L53" s="5"/>
      <c r="M53" s="5"/>
      <c r="N53" s="6"/>
      <c r="O53" s="45" t="s">
        <v>206</v>
      </c>
      <c r="P53" s="5"/>
      <c r="Q53" s="6"/>
      <c r="R53" s="47"/>
      <c r="S53" s="6"/>
      <c r="T53" s="47"/>
      <c r="U53" s="6"/>
      <c r="V53" s="47"/>
      <c r="W53" s="6"/>
      <c r="X53" s="47"/>
      <c r="Y53" s="6"/>
    </row>
    <row r="54" ht="39.75" customHeight="1">
      <c r="A54" s="127">
        <v>3.0</v>
      </c>
      <c r="B54" s="42" t="s">
        <v>241</v>
      </c>
      <c r="C54" s="43" t="s">
        <v>242</v>
      </c>
      <c r="D54" s="5"/>
      <c r="E54" s="5"/>
      <c r="F54" s="6"/>
      <c r="G54" s="45" t="s">
        <v>203</v>
      </c>
      <c r="H54" s="5"/>
      <c r="I54" s="5"/>
      <c r="J54" s="6"/>
      <c r="K54" s="45">
        <v>300.0</v>
      </c>
      <c r="L54" s="5"/>
      <c r="M54" s="5"/>
      <c r="N54" s="6"/>
      <c r="O54" s="45" t="s">
        <v>199</v>
      </c>
      <c r="P54" s="5"/>
      <c r="Q54" s="6"/>
      <c r="R54" s="47"/>
      <c r="S54" s="6"/>
      <c r="T54" s="47"/>
      <c r="U54" s="6"/>
      <c r="V54" s="47"/>
      <c r="W54" s="6"/>
      <c r="X54" s="47"/>
      <c r="Y54" s="6"/>
    </row>
    <row r="55" ht="39.75" customHeight="1">
      <c r="A55" s="127">
        <v>4.0</v>
      </c>
      <c r="B55" s="42" t="s">
        <v>196</v>
      </c>
      <c r="C55" s="43" t="s">
        <v>197</v>
      </c>
      <c r="D55" s="5"/>
      <c r="E55" s="5"/>
      <c r="F55" s="6"/>
      <c r="G55" s="116" t="s">
        <v>371</v>
      </c>
      <c r="H55" s="5"/>
      <c r="I55" s="5"/>
      <c r="J55" s="6"/>
      <c r="K55" s="45">
        <v>15.0</v>
      </c>
      <c r="L55" s="5"/>
      <c r="M55" s="5"/>
      <c r="N55" s="6"/>
      <c r="O55" s="45" t="s">
        <v>199</v>
      </c>
      <c r="P55" s="5"/>
      <c r="Q55" s="6"/>
      <c r="R55" s="47"/>
      <c r="S55" s="6"/>
      <c r="T55" s="46" t="s">
        <v>200</v>
      </c>
      <c r="U55" s="6"/>
      <c r="V55" s="47"/>
      <c r="W55" s="6"/>
      <c r="X55" s="47"/>
      <c r="Y55" s="6"/>
    </row>
    <row r="56" ht="39.75" customHeight="1">
      <c r="A56" s="128">
        <v>5.0</v>
      </c>
      <c r="B56" s="119" t="s">
        <v>243</v>
      </c>
      <c r="C56" s="120" t="s">
        <v>244</v>
      </c>
      <c r="D56" s="88"/>
      <c r="E56" s="88"/>
      <c r="F56" s="89"/>
      <c r="G56" s="121" t="s">
        <v>245</v>
      </c>
      <c r="H56" s="88"/>
      <c r="I56" s="88"/>
      <c r="J56" s="89"/>
      <c r="K56" s="121">
        <v>10.0</v>
      </c>
      <c r="L56" s="88"/>
      <c r="M56" s="88"/>
      <c r="N56" s="89"/>
      <c r="O56" s="121" t="s">
        <v>199</v>
      </c>
      <c r="P56" s="88"/>
      <c r="Q56" s="89"/>
      <c r="R56" s="122"/>
      <c r="S56" s="89"/>
      <c r="T56" s="122"/>
      <c r="U56" s="89"/>
      <c r="V56" s="122"/>
      <c r="W56" s="89"/>
      <c r="X56" s="122"/>
      <c r="Y56" s="89"/>
    </row>
    <row r="57" ht="39.75" customHeight="1">
      <c r="A57" s="130"/>
      <c r="B57" s="124"/>
      <c r="C57" s="124"/>
      <c r="D57" s="88"/>
      <c r="E57" s="88"/>
      <c r="F57" s="88"/>
      <c r="G57" s="124"/>
      <c r="H57" s="88"/>
      <c r="I57" s="88"/>
      <c r="J57" s="88"/>
      <c r="K57" s="124"/>
      <c r="L57" s="88"/>
      <c r="M57" s="88"/>
      <c r="N57" s="88"/>
      <c r="O57" s="124"/>
      <c r="P57" s="88"/>
      <c r="Q57" s="88"/>
      <c r="R57" s="124"/>
      <c r="S57" s="88"/>
      <c r="T57" s="124"/>
      <c r="U57" s="88"/>
      <c r="V57" s="124"/>
      <c r="W57" s="88"/>
      <c r="X57" s="124"/>
      <c r="Y57" s="88"/>
    </row>
    <row r="58" ht="39.75" customHeight="1">
      <c r="A58" s="61"/>
      <c r="B58" s="62"/>
      <c r="C58" s="62"/>
      <c r="G58" s="62"/>
      <c r="K58" s="62"/>
      <c r="O58" s="62"/>
      <c r="R58" s="62"/>
      <c r="T58" s="62"/>
      <c r="V58" s="62"/>
      <c r="X58" s="62"/>
    </row>
    <row r="59" ht="39.75" customHeight="1"/>
    <row r="60" ht="39.75" customHeight="1"/>
    <row r="61" ht="39.75" customHeight="1"/>
    <row r="62" ht="39.75" customHeight="1"/>
    <row r="63" ht="39.75" customHeight="1"/>
    <row r="64" ht="39.75" customHeight="1">
      <c r="A64" s="126">
        <v>6.0</v>
      </c>
      <c r="B64" s="138" t="s">
        <v>134</v>
      </c>
      <c r="C64" s="104" t="str">
        <f>'Invetario de Tablas'!B9</f>
        <v>comentario</v>
      </c>
      <c r="D64" s="105"/>
      <c r="E64" s="105"/>
      <c r="F64" s="106"/>
      <c r="G64" s="139" t="s">
        <v>135</v>
      </c>
      <c r="H64" s="32"/>
      <c r="I64" s="32"/>
      <c r="J64" s="33"/>
      <c r="K64" s="107" t="str">
        <f>'Invetario de Tablas'!C9</f>
        <v>opinión de los integrantes de la red pascualina</v>
      </c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6"/>
      <c r="X64" s="144" t="s">
        <v>186</v>
      </c>
      <c r="Y64" s="117" t="str">
        <f>Y3</f>
        <v>1.0</v>
      </c>
    </row>
    <row r="65" ht="39.75" customHeight="1">
      <c r="A65" s="145" t="s">
        <v>1</v>
      </c>
      <c r="B65" s="142" t="s">
        <v>187</v>
      </c>
      <c r="C65" s="146" t="s">
        <v>188</v>
      </c>
      <c r="D65" s="147"/>
      <c r="E65" s="147"/>
      <c r="F65" s="148"/>
      <c r="G65" s="143" t="s">
        <v>379</v>
      </c>
      <c r="H65" s="5"/>
      <c r="I65" s="5"/>
      <c r="J65" s="6"/>
      <c r="K65" s="146" t="s">
        <v>190</v>
      </c>
      <c r="L65" s="147"/>
      <c r="M65" s="147"/>
      <c r="N65" s="148"/>
      <c r="O65" s="146" t="s">
        <v>191</v>
      </c>
      <c r="P65" s="147"/>
      <c r="Q65" s="148"/>
      <c r="R65" s="146" t="s">
        <v>192</v>
      </c>
      <c r="S65" s="148"/>
      <c r="T65" s="146" t="s">
        <v>193</v>
      </c>
      <c r="U65" s="148"/>
      <c r="V65" s="146" t="s">
        <v>194</v>
      </c>
      <c r="W65" s="148"/>
      <c r="X65" s="143" t="s">
        <v>195</v>
      </c>
      <c r="Y65" s="40"/>
    </row>
    <row r="66" ht="39.75" customHeight="1">
      <c r="A66" s="41">
        <v>1.0</v>
      </c>
      <c r="B66" s="42" t="s">
        <v>246</v>
      </c>
      <c r="C66" s="43" t="s">
        <v>247</v>
      </c>
      <c r="D66" s="5"/>
      <c r="E66" s="5"/>
      <c r="F66" s="6"/>
      <c r="G66" s="94" t="s">
        <v>381</v>
      </c>
      <c r="H66" s="5"/>
      <c r="I66" s="5"/>
      <c r="J66" s="6"/>
      <c r="K66" s="45">
        <v>20.0</v>
      </c>
      <c r="L66" s="5"/>
      <c r="M66" s="5"/>
      <c r="N66" s="6"/>
      <c r="O66" s="45" t="s">
        <v>199</v>
      </c>
      <c r="P66" s="5"/>
      <c r="Q66" s="6"/>
      <c r="R66" s="46" t="s">
        <v>200</v>
      </c>
      <c r="S66" s="6"/>
      <c r="T66" s="47"/>
      <c r="U66" s="6"/>
      <c r="V66" s="47"/>
      <c r="W66" s="6"/>
      <c r="X66" s="47"/>
      <c r="Y66" s="6"/>
    </row>
    <row r="67" ht="39.75" customHeight="1">
      <c r="A67" s="41">
        <v>2.0</v>
      </c>
      <c r="B67" s="42" t="s">
        <v>248</v>
      </c>
      <c r="C67" s="43" t="s">
        <v>249</v>
      </c>
      <c r="D67" s="5"/>
      <c r="E67" s="5"/>
      <c r="F67" s="6"/>
      <c r="G67" s="45" t="s">
        <v>203</v>
      </c>
      <c r="H67" s="5"/>
      <c r="I67" s="5"/>
      <c r="J67" s="6"/>
      <c r="K67" s="45">
        <v>250.0</v>
      </c>
      <c r="L67" s="5"/>
      <c r="M67" s="5"/>
      <c r="N67" s="6"/>
      <c r="O67" s="45" t="s">
        <v>199</v>
      </c>
      <c r="P67" s="5"/>
      <c r="Q67" s="6"/>
      <c r="R67" s="47"/>
      <c r="S67" s="6"/>
      <c r="T67" s="47"/>
      <c r="U67" s="6"/>
      <c r="V67" s="47"/>
      <c r="W67" s="6"/>
      <c r="X67" s="47"/>
      <c r="Y67" s="6"/>
    </row>
    <row r="68" ht="39.75" customHeight="1">
      <c r="A68" s="41">
        <v>3.0</v>
      </c>
      <c r="B68" s="42" t="s">
        <v>250</v>
      </c>
      <c r="C68" s="43" t="s">
        <v>244</v>
      </c>
      <c r="D68" s="5"/>
      <c r="E68" s="5"/>
      <c r="F68" s="6"/>
      <c r="G68" s="45" t="s">
        <v>245</v>
      </c>
      <c r="H68" s="5"/>
      <c r="I68" s="5"/>
      <c r="J68" s="6"/>
      <c r="K68" s="45">
        <v>10.0</v>
      </c>
      <c r="L68" s="5"/>
      <c r="M68" s="5"/>
      <c r="N68" s="6"/>
      <c r="O68" s="45" t="s">
        <v>199</v>
      </c>
      <c r="P68" s="5"/>
      <c r="Q68" s="6"/>
      <c r="R68" s="47"/>
      <c r="S68" s="6"/>
      <c r="T68" s="47"/>
      <c r="U68" s="6"/>
      <c r="V68" s="47"/>
      <c r="W68" s="6"/>
      <c r="X68" s="47"/>
      <c r="Y68" s="6"/>
    </row>
    <row r="69" ht="39.75" customHeight="1">
      <c r="A69" s="41">
        <v>4.0</v>
      </c>
      <c r="B69" s="42" t="s">
        <v>251</v>
      </c>
      <c r="C69" s="43" t="s">
        <v>252</v>
      </c>
      <c r="D69" s="5"/>
      <c r="E69" s="5"/>
      <c r="F69" s="6"/>
      <c r="G69" s="45" t="s">
        <v>203</v>
      </c>
      <c r="H69" s="5"/>
      <c r="I69" s="5"/>
      <c r="J69" s="6"/>
      <c r="K69" s="45">
        <v>250.0</v>
      </c>
      <c r="L69" s="5"/>
      <c r="M69" s="5"/>
      <c r="N69" s="6"/>
      <c r="O69" s="45" t="s">
        <v>206</v>
      </c>
      <c r="P69" s="5"/>
      <c r="Q69" s="6"/>
      <c r="R69" s="47"/>
      <c r="S69" s="6"/>
      <c r="T69" s="47"/>
      <c r="U69" s="6"/>
      <c r="V69" s="47"/>
      <c r="W69" s="6"/>
      <c r="X69" s="47"/>
      <c r="Y69" s="6"/>
    </row>
    <row r="70" ht="39.75" customHeight="1">
      <c r="A70" s="41">
        <v>5.0</v>
      </c>
      <c r="B70" s="42" t="s">
        <v>253</v>
      </c>
      <c r="C70" s="43" t="s">
        <v>254</v>
      </c>
      <c r="D70" s="5"/>
      <c r="E70" s="5"/>
      <c r="F70" s="6"/>
      <c r="G70" s="45" t="s">
        <v>203</v>
      </c>
      <c r="H70" s="5"/>
      <c r="I70" s="5"/>
      <c r="J70" s="6"/>
      <c r="K70" s="45">
        <v>250.0</v>
      </c>
      <c r="L70" s="5"/>
      <c r="M70" s="5"/>
      <c r="N70" s="6"/>
      <c r="O70" s="45" t="s">
        <v>206</v>
      </c>
      <c r="P70" s="5"/>
      <c r="Q70" s="6"/>
      <c r="R70" s="47"/>
      <c r="S70" s="6"/>
      <c r="T70" s="47"/>
      <c r="U70" s="6"/>
      <c r="V70" s="47"/>
      <c r="W70" s="6"/>
      <c r="X70" s="47"/>
      <c r="Y70" s="6"/>
    </row>
    <row r="71" ht="39.75" customHeight="1">
      <c r="A71" s="48">
        <v>6.0</v>
      </c>
      <c r="B71" s="42" t="s">
        <v>237</v>
      </c>
      <c r="C71" s="43" t="s">
        <v>238</v>
      </c>
      <c r="D71" s="5"/>
      <c r="E71" s="5"/>
      <c r="F71" s="6"/>
      <c r="G71" s="116" t="s">
        <v>371</v>
      </c>
      <c r="H71" s="5"/>
      <c r="I71" s="5"/>
      <c r="J71" s="6"/>
      <c r="K71" s="45">
        <v>200.0</v>
      </c>
      <c r="L71" s="5"/>
      <c r="M71" s="5"/>
      <c r="N71" s="6"/>
      <c r="O71" s="45" t="s">
        <v>199</v>
      </c>
      <c r="P71" s="5"/>
      <c r="Q71" s="6"/>
      <c r="R71" s="47"/>
      <c r="S71" s="6"/>
      <c r="T71" s="46" t="s">
        <v>200</v>
      </c>
      <c r="U71" s="6"/>
      <c r="V71" s="47"/>
      <c r="W71" s="6"/>
      <c r="X71" s="47"/>
      <c r="Y71" s="6"/>
    </row>
    <row r="72" ht="39.75" customHeight="1">
      <c r="A72" s="48">
        <v>7.0</v>
      </c>
      <c r="B72" s="42" t="s">
        <v>255</v>
      </c>
      <c r="C72" s="43" t="s">
        <v>256</v>
      </c>
      <c r="D72" s="5"/>
      <c r="E72" s="5"/>
      <c r="F72" s="6"/>
      <c r="G72" s="116" t="s">
        <v>371</v>
      </c>
      <c r="H72" s="5"/>
      <c r="I72" s="5"/>
      <c r="J72" s="6"/>
      <c r="K72" s="45">
        <v>200.0</v>
      </c>
      <c r="L72" s="5"/>
      <c r="M72" s="5"/>
      <c r="N72" s="6"/>
      <c r="O72" s="45" t="s">
        <v>199</v>
      </c>
      <c r="P72" s="5"/>
      <c r="Q72" s="6"/>
      <c r="R72" s="47"/>
      <c r="S72" s="6"/>
      <c r="T72" s="46" t="s">
        <v>200</v>
      </c>
      <c r="U72" s="6"/>
      <c r="V72" s="47"/>
      <c r="W72" s="6"/>
      <c r="X72" s="47"/>
      <c r="Y72" s="6"/>
    </row>
    <row r="73" ht="39.75" customHeight="1">
      <c r="A73" s="49">
        <v>8.0</v>
      </c>
      <c r="B73" s="50" t="s">
        <v>196</v>
      </c>
      <c r="C73" s="51" t="s">
        <v>197</v>
      </c>
      <c r="D73" s="5"/>
      <c r="E73" s="5"/>
      <c r="F73" s="6"/>
      <c r="G73" s="116" t="s">
        <v>371</v>
      </c>
      <c r="H73" s="5"/>
      <c r="I73" s="5"/>
      <c r="J73" s="6"/>
      <c r="K73" s="52">
        <v>15.0</v>
      </c>
      <c r="L73" s="5"/>
      <c r="M73" s="5"/>
      <c r="N73" s="6"/>
      <c r="O73" s="52" t="s">
        <v>199</v>
      </c>
      <c r="P73" s="5"/>
      <c r="Q73" s="6"/>
      <c r="R73" s="53"/>
      <c r="S73" s="6"/>
      <c r="T73" s="54" t="s">
        <v>200</v>
      </c>
      <c r="U73" s="6"/>
      <c r="V73" s="53"/>
      <c r="W73" s="6"/>
      <c r="X73" s="53"/>
      <c r="Y73" s="6"/>
    </row>
    <row r="74" ht="39.75" customHeight="1"/>
    <row r="75" ht="39.75" customHeight="1"/>
    <row r="76" ht="39.75" customHeight="1"/>
    <row r="77" ht="39.75" customHeight="1"/>
    <row r="78" ht="39.75" customHeight="1">
      <c r="A78" s="126">
        <v>7.0</v>
      </c>
      <c r="B78" s="138" t="s">
        <v>134</v>
      </c>
      <c r="C78" s="104" t="str">
        <f>'Invetario de Tablas'!B10</f>
        <v>grupo</v>
      </c>
      <c r="D78" s="105"/>
      <c r="E78" s="105"/>
      <c r="F78" s="106"/>
      <c r="G78" s="139" t="s">
        <v>135</v>
      </c>
      <c r="H78" s="32"/>
      <c r="I78" s="32"/>
      <c r="J78" s="33"/>
      <c r="K78" s="107" t="str">
        <f>'Invetario de Tablas'!C10</f>
        <v>interaccion de un grupo</v>
      </c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6"/>
      <c r="X78" s="144" t="s">
        <v>186</v>
      </c>
      <c r="Y78" s="117" t="str">
        <f>Y3</f>
        <v>1.0</v>
      </c>
    </row>
    <row r="79" ht="39.75" customHeight="1">
      <c r="A79" s="145" t="s">
        <v>1</v>
      </c>
      <c r="B79" s="142" t="s">
        <v>187</v>
      </c>
      <c r="C79" s="146" t="s">
        <v>188</v>
      </c>
      <c r="D79" s="147"/>
      <c r="E79" s="147"/>
      <c r="F79" s="148"/>
      <c r="G79" s="143" t="s">
        <v>379</v>
      </c>
      <c r="H79" s="5"/>
      <c r="I79" s="5"/>
      <c r="J79" s="6"/>
      <c r="K79" s="146" t="s">
        <v>190</v>
      </c>
      <c r="L79" s="147"/>
      <c r="M79" s="147"/>
      <c r="N79" s="148"/>
      <c r="O79" s="146" t="s">
        <v>191</v>
      </c>
      <c r="P79" s="147"/>
      <c r="Q79" s="148"/>
      <c r="R79" s="146" t="s">
        <v>192</v>
      </c>
      <c r="S79" s="148"/>
      <c r="T79" s="146" t="s">
        <v>193</v>
      </c>
      <c r="U79" s="148"/>
      <c r="V79" s="146" t="s">
        <v>194</v>
      </c>
      <c r="W79" s="148"/>
      <c r="X79" s="143" t="s">
        <v>195</v>
      </c>
      <c r="Y79" s="40"/>
    </row>
    <row r="80" ht="39.75" customHeight="1">
      <c r="A80" s="127">
        <v>1.0</v>
      </c>
      <c r="B80" s="131" t="s">
        <v>257</v>
      </c>
      <c r="C80" s="43" t="s">
        <v>258</v>
      </c>
      <c r="D80" s="5"/>
      <c r="E80" s="5"/>
      <c r="F80" s="6"/>
      <c r="G80" s="94" t="s">
        <v>381</v>
      </c>
      <c r="H80" s="5"/>
      <c r="I80" s="5"/>
      <c r="J80" s="6"/>
      <c r="K80" s="45">
        <v>5.0</v>
      </c>
      <c r="L80" s="5"/>
      <c r="M80" s="5"/>
      <c r="N80" s="6"/>
      <c r="O80" s="45" t="s">
        <v>199</v>
      </c>
      <c r="P80" s="5"/>
      <c r="Q80" s="6"/>
      <c r="R80" s="46" t="s">
        <v>200</v>
      </c>
      <c r="S80" s="6"/>
      <c r="T80" s="47"/>
      <c r="U80" s="6"/>
      <c r="V80" s="47"/>
      <c r="W80" s="6"/>
      <c r="X80" s="47"/>
      <c r="Y80" s="6"/>
    </row>
    <row r="81" ht="39.75" customHeight="1">
      <c r="A81" s="127">
        <v>2.0</v>
      </c>
      <c r="B81" s="131" t="s">
        <v>259</v>
      </c>
      <c r="C81" s="43" t="s">
        <v>260</v>
      </c>
      <c r="D81" s="5"/>
      <c r="E81" s="5"/>
      <c r="F81" s="6"/>
      <c r="G81" s="45" t="s">
        <v>203</v>
      </c>
      <c r="H81" s="5"/>
      <c r="I81" s="5"/>
      <c r="J81" s="6"/>
      <c r="K81" s="45">
        <v>30.0</v>
      </c>
      <c r="L81" s="5"/>
      <c r="M81" s="5"/>
      <c r="N81" s="6"/>
      <c r="O81" s="45" t="s">
        <v>199</v>
      </c>
      <c r="P81" s="5"/>
      <c r="Q81" s="6"/>
      <c r="R81" s="47"/>
      <c r="S81" s="6"/>
      <c r="T81" s="47"/>
      <c r="U81" s="6"/>
      <c r="V81" s="47"/>
      <c r="W81" s="6"/>
      <c r="X81" s="47"/>
      <c r="Y81" s="6"/>
    </row>
    <row r="82" ht="39.75" customHeight="1">
      <c r="A82" s="127">
        <v>3.0</v>
      </c>
      <c r="B82" s="131" t="s">
        <v>261</v>
      </c>
      <c r="C82" s="43" t="s">
        <v>262</v>
      </c>
      <c r="D82" s="5"/>
      <c r="E82" s="5"/>
      <c r="F82" s="6"/>
      <c r="G82" s="45" t="s">
        <v>203</v>
      </c>
      <c r="H82" s="5"/>
      <c r="I82" s="5"/>
      <c r="J82" s="6"/>
      <c r="K82" s="45">
        <v>250.0</v>
      </c>
      <c r="L82" s="5"/>
      <c r="M82" s="5"/>
      <c r="N82" s="6"/>
      <c r="O82" s="45" t="s">
        <v>206</v>
      </c>
      <c r="P82" s="5"/>
      <c r="Q82" s="6"/>
      <c r="R82" s="47"/>
      <c r="S82" s="6"/>
      <c r="T82" s="47"/>
      <c r="U82" s="6"/>
      <c r="V82" s="47"/>
      <c r="W82" s="6"/>
      <c r="X82" s="47"/>
      <c r="Y82" s="6"/>
    </row>
    <row r="83" ht="39.75" customHeight="1">
      <c r="A83" s="128">
        <v>4.0</v>
      </c>
      <c r="B83" s="132" t="s">
        <v>263</v>
      </c>
      <c r="C83" s="120" t="s">
        <v>264</v>
      </c>
      <c r="D83" s="88"/>
      <c r="E83" s="88"/>
      <c r="F83" s="89"/>
      <c r="G83" s="121" t="s">
        <v>203</v>
      </c>
      <c r="H83" s="88"/>
      <c r="I83" s="88"/>
      <c r="J83" s="89"/>
      <c r="K83" s="121">
        <v>20.0</v>
      </c>
      <c r="L83" s="88"/>
      <c r="M83" s="88"/>
      <c r="N83" s="89"/>
      <c r="O83" s="121" t="s">
        <v>206</v>
      </c>
      <c r="P83" s="88"/>
      <c r="Q83" s="89"/>
      <c r="R83" s="122"/>
      <c r="S83" s="89"/>
      <c r="T83" s="122"/>
      <c r="U83" s="89"/>
      <c r="V83" s="122"/>
      <c r="W83" s="89"/>
      <c r="X83" s="122"/>
      <c r="Y83" s="89"/>
    </row>
    <row r="84" ht="39.75" customHeight="1">
      <c r="A84" s="123"/>
      <c r="B84" s="124"/>
      <c r="C84" s="124"/>
      <c r="D84" s="88"/>
      <c r="E84" s="88"/>
      <c r="F84" s="88"/>
      <c r="G84" s="124"/>
      <c r="H84" s="88"/>
      <c r="I84" s="88"/>
      <c r="J84" s="88"/>
      <c r="K84" s="124"/>
      <c r="L84" s="88"/>
      <c r="M84" s="88"/>
      <c r="N84" s="88"/>
      <c r="O84" s="124"/>
      <c r="P84" s="88"/>
      <c r="Q84" s="88"/>
      <c r="R84" s="124"/>
      <c r="S84" s="88"/>
      <c r="T84" s="124"/>
      <c r="U84" s="88"/>
      <c r="V84" s="124"/>
      <c r="W84" s="88"/>
      <c r="X84" s="124"/>
      <c r="Y84" s="88"/>
    </row>
    <row r="85" ht="39.75" customHeight="1">
      <c r="A85" s="129"/>
      <c r="B85" s="62"/>
      <c r="C85" s="62"/>
      <c r="G85" s="62"/>
      <c r="K85" s="62"/>
      <c r="O85" s="62"/>
      <c r="R85" s="62"/>
      <c r="T85" s="62"/>
      <c r="V85" s="62"/>
      <c r="X85" s="62"/>
    </row>
    <row r="86" ht="39.75" customHeight="1">
      <c r="A86" s="61"/>
      <c r="B86" s="62"/>
      <c r="C86" s="62"/>
      <c r="G86" s="62"/>
      <c r="K86" s="62"/>
      <c r="O86" s="62"/>
      <c r="R86" s="62"/>
      <c r="T86" s="62"/>
      <c r="V86" s="62"/>
      <c r="X86" s="62"/>
    </row>
    <row r="87" ht="39.75" customHeight="1"/>
    <row r="88" ht="39.75" customHeight="1"/>
    <row r="89" ht="39.75" customHeight="1"/>
    <row r="90" ht="39.75" customHeight="1"/>
    <row r="91" ht="39.75" customHeight="1"/>
    <row r="92" ht="39.75" customHeight="1">
      <c r="A92" s="126">
        <v>8.0</v>
      </c>
      <c r="B92" s="138" t="s">
        <v>134</v>
      </c>
      <c r="C92" s="104" t="str">
        <f>'Invetario de Tablas'!B11</f>
        <v>tipo_servicio</v>
      </c>
      <c r="D92" s="105"/>
      <c r="E92" s="105"/>
      <c r="F92" s="106"/>
      <c r="G92" s="139" t="s">
        <v>135</v>
      </c>
      <c r="H92" s="32"/>
      <c r="I92" s="32"/>
      <c r="J92" s="33"/>
      <c r="K92" s="107" t="str">
        <f>'Invetario de Tablas'!C11</f>
        <v>tipos de asistencias que se brindan a los usuarios</v>
      </c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6"/>
      <c r="X92" s="144" t="s">
        <v>186</v>
      </c>
      <c r="Y92" s="117" t="str">
        <f>Y3</f>
        <v>1.0</v>
      </c>
    </row>
    <row r="93" ht="39.75" customHeight="1">
      <c r="A93" s="145" t="s">
        <v>1</v>
      </c>
      <c r="B93" s="142" t="s">
        <v>187</v>
      </c>
      <c r="C93" s="146" t="s">
        <v>188</v>
      </c>
      <c r="D93" s="147"/>
      <c r="E93" s="147"/>
      <c r="F93" s="148"/>
      <c r="G93" s="143" t="s">
        <v>379</v>
      </c>
      <c r="H93" s="5"/>
      <c r="I93" s="5"/>
      <c r="J93" s="6"/>
      <c r="K93" s="146" t="s">
        <v>190</v>
      </c>
      <c r="L93" s="147"/>
      <c r="M93" s="147"/>
      <c r="N93" s="148"/>
      <c r="O93" s="146" t="s">
        <v>191</v>
      </c>
      <c r="P93" s="147"/>
      <c r="Q93" s="148"/>
      <c r="R93" s="146" t="s">
        <v>192</v>
      </c>
      <c r="S93" s="148"/>
      <c r="T93" s="146" t="s">
        <v>193</v>
      </c>
      <c r="U93" s="148"/>
      <c r="V93" s="146" t="s">
        <v>194</v>
      </c>
      <c r="W93" s="148"/>
      <c r="X93" s="143" t="s">
        <v>195</v>
      </c>
      <c r="Y93" s="40"/>
    </row>
    <row r="94" ht="39.75" customHeight="1">
      <c r="A94" s="127">
        <v>1.0</v>
      </c>
      <c r="B94" s="42" t="s">
        <v>265</v>
      </c>
      <c r="C94" s="43" t="s">
        <v>266</v>
      </c>
      <c r="D94" s="5"/>
      <c r="E94" s="5"/>
      <c r="F94" s="6"/>
      <c r="G94" s="94" t="s">
        <v>381</v>
      </c>
      <c r="H94" s="5"/>
      <c r="I94" s="5"/>
      <c r="J94" s="6"/>
      <c r="K94" s="45">
        <v>5.0</v>
      </c>
      <c r="L94" s="5"/>
      <c r="M94" s="5"/>
      <c r="N94" s="6"/>
      <c r="O94" s="45" t="s">
        <v>199</v>
      </c>
      <c r="P94" s="5"/>
      <c r="Q94" s="6"/>
      <c r="R94" s="46" t="s">
        <v>200</v>
      </c>
      <c r="S94" s="6"/>
      <c r="T94" s="47"/>
      <c r="U94" s="6"/>
      <c r="V94" s="47"/>
      <c r="W94" s="6"/>
      <c r="X94" s="43" t="s">
        <v>228</v>
      </c>
      <c r="Y94" s="6"/>
    </row>
    <row r="95" ht="39.75" customHeight="1">
      <c r="A95" s="128">
        <v>2.0</v>
      </c>
      <c r="B95" s="119" t="s">
        <v>267</v>
      </c>
      <c r="C95" s="120" t="s">
        <v>268</v>
      </c>
      <c r="D95" s="88"/>
      <c r="E95" s="88"/>
      <c r="F95" s="89"/>
      <c r="G95" s="121" t="s">
        <v>203</v>
      </c>
      <c r="H95" s="88"/>
      <c r="I95" s="88"/>
      <c r="J95" s="89"/>
      <c r="K95" s="121">
        <v>50.0</v>
      </c>
      <c r="L95" s="88"/>
      <c r="M95" s="88"/>
      <c r="N95" s="89"/>
      <c r="O95" s="121" t="s">
        <v>199</v>
      </c>
      <c r="P95" s="88"/>
      <c r="Q95" s="89"/>
      <c r="R95" s="122"/>
      <c r="S95" s="89"/>
      <c r="T95" s="122"/>
      <c r="U95" s="89"/>
      <c r="V95" s="122"/>
      <c r="W95" s="89"/>
      <c r="X95" s="122"/>
      <c r="Y95" s="89"/>
    </row>
    <row r="96" ht="39.75" customHeight="1">
      <c r="A96" s="123"/>
      <c r="B96" s="124"/>
      <c r="C96" s="124"/>
      <c r="D96" s="88"/>
      <c r="E96" s="88"/>
      <c r="F96" s="88"/>
      <c r="G96" s="124"/>
      <c r="H96" s="88"/>
      <c r="I96" s="88"/>
      <c r="J96" s="88"/>
      <c r="K96" s="124"/>
      <c r="L96" s="88"/>
      <c r="M96" s="88"/>
      <c r="N96" s="88"/>
      <c r="O96" s="124"/>
      <c r="P96" s="88"/>
      <c r="Q96" s="88"/>
      <c r="R96" s="124"/>
      <c r="S96" s="88"/>
      <c r="T96" s="124"/>
      <c r="U96" s="88"/>
      <c r="V96" s="124"/>
      <c r="W96" s="88"/>
      <c r="X96" s="124"/>
      <c r="Y96" s="88"/>
    </row>
    <row r="97" ht="39.75" customHeight="1">
      <c r="A97" s="61"/>
      <c r="B97" s="62"/>
      <c r="C97" s="62"/>
      <c r="G97" s="62"/>
      <c r="K97" s="62"/>
      <c r="O97" s="62"/>
      <c r="R97" s="62"/>
      <c r="T97" s="62"/>
      <c r="V97" s="62"/>
      <c r="X97" s="62"/>
    </row>
    <row r="98" ht="39.75" customHeight="1">
      <c r="A98" s="61"/>
      <c r="B98" s="62"/>
      <c r="C98" s="62"/>
      <c r="G98" s="62"/>
      <c r="K98" s="62"/>
      <c r="O98" s="62"/>
      <c r="R98" s="62"/>
      <c r="T98" s="62"/>
      <c r="V98" s="62"/>
      <c r="X98" s="62"/>
    </row>
    <row r="99" ht="39.75" customHeight="1">
      <c r="A99" s="129"/>
      <c r="B99" s="62"/>
      <c r="C99" s="62"/>
      <c r="G99" s="62"/>
      <c r="K99" s="62"/>
      <c r="O99" s="62"/>
      <c r="R99" s="62"/>
      <c r="T99" s="62"/>
      <c r="V99" s="62"/>
      <c r="X99" s="62"/>
    </row>
    <row r="100" ht="39.75" customHeight="1">
      <c r="A100" s="61"/>
      <c r="B100" s="62"/>
      <c r="C100" s="62"/>
      <c r="G100" s="62"/>
      <c r="K100" s="62"/>
      <c r="O100" s="62"/>
      <c r="R100" s="62"/>
      <c r="T100" s="62"/>
      <c r="V100" s="62"/>
      <c r="X100" s="62"/>
    </row>
    <row r="101" ht="39.75" customHeight="1"/>
    <row r="102" ht="39.75" customHeight="1"/>
    <row r="103" ht="39.75" customHeight="1"/>
    <row r="104" ht="39.75" customHeight="1"/>
    <row r="105" ht="39.75" customHeight="1"/>
    <row r="106" ht="39.75" customHeight="1">
      <c r="A106" s="126">
        <v>9.0</v>
      </c>
      <c r="B106" s="138" t="s">
        <v>134</v>
      </c>
      <c r="C106" s="104" t="str">
        <f>'Invetario de Tablas'!B12</f>
        <v>servicio</v>
      </c>
      <c r="D106" s="105"/>
      <c r="E106" s="105"/>
      <c r="F106" s="106"/>
      <c r="G106" s="139" t="s">
        <v>135</v>
      </c>
      <c r="H106" s="32"/>
      <c r="I106" s="32"/>
      <c r="J106" s="33"/>
      <c r="K106" s="107" t="str">
        <f>'Invetario de Tablas'!C12</f>
        <v>asistencia en la necesidad que puedan tener los usuarios</v>
      </c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6"/>
      <c r="X106" s="144" t="s">
        <v>186</v>
      </c>
      <c r="Y106" s="117" t="str">
        <f>Y3</f>
        <v>1.0</v>
      </c>
    </row>
    <row r="107" ht="39.75" customHeight="1">
      <c r="A107" s="145" t="s">
        <v>1</v>
      </c>
      <c r="B107" s="142" t="s">
        <v>187</v>
      </c>
      <c r="C107" s="146" t="s">
        <v>188</v>
      </c>
      <c r="D107" s="147"/>
      <c r="E107" s="147"/>
      <c r="F107" s="148"/>
      <c r="G107" s="143" t="s">
        <v>379</v>
      </c>
      <c r="H107" s="5"/>
      <c r="I107" s="5"/>
      <c r="J107" s="6"/>
      <c r="K107" s="146" t="s">
        <v>190</v>
      </c>
      <c r="L107" s="147"/>
      <c r="M107" s="147"/>
      <c r="N107" s="148"/>
      <c r="O107" s="146" t="s">
        <v>191</v>
      </c>
      <c r="P107" s="147"/>
      <c r="Q107" s="148"/>
      <c r="R107" s="146" t="s">
        <v>192</v>
      </c>
      <c r="S107" s="148"/>
      <c r="T107" s="146" t="s">
        <v>193</v>
      </c>
      <c r="U107" s="148"/>
      <c r="V107" s="146" t="s">
        <v>194</v>
      </c>
      <c r="W107" s="148"/>
      <c r="X107" s="143" t="s">
        <v>195</v>
      </c>
      <c r="Y107" s="40"/>
    </row>
    <row r="108" ht="39.75" customHeight="1">
      <c r="A108" s="127">
        <v>1.0</v>
      </c>
      <c r="B108" s="42" t="s">
        <v>265</v>
      </c>
      <c r="C108" s="43" t="s">
        <v>269</v>
      </c>
      <c r="D108" s="5"/>
      <c r="E108" s="5"/>
      <c r="F108" s="6"/>
      <c r="G108" s="116" t="s">
        <v>371</v>
      </c>
      <c r="H108" s="5"/>
      <c r="I108" s="5"/>
      <c r="J108" s="6"/>
      <c r="K108" s="45">
        <v>5.0</v>
      </c>
      <c r="L108" s="5"/>
      <c r="M108" s="5"/>
      <c r="N108" s="6"/>
      <c r="O108" s="45" t="s">
        <v>199</v>
      </c>
      <c r="P108" s="5"/>
      <c r="Q108" s="6"/>
      <c r="R108" s="47"/>
      <c r="S108" s="6"/>
      <c r="T108" s="46" t="s">
        <v>200</v>
      </c>
      <c r="U108" s="6"/>
      <c r="V108" s="47"/>
      <c r="W108" s="6"/>
      <c r="X108" s="47"/>
      <c r="Y108" s="6"/>
    </row>
    <row r="109" ht="39.75" customHeight="1">
      <c r="A109" s="127">
        <v>2.0</v>
      </c>
      <c r="B109" s="119" t="s">
        <v>196</v>
      </c>
      <c r="C109" s="120" t="s">
        <v>270</v>
      </c>
      <c r="D109" s="88"/>
      <c r="E109" s="88"/>
      <c r="F109" s="89"/>
      <c r="G109" s="116" t="s">
        <v>371</v>
      </c>
      <c r="H109" s="5"/>
      <c r="I109" s="5"/>
      <c r="J109" s="6"/>
      <c r="K109" s="121">
        <v>15.0</v>
      </c>
      <c r="L109" s="88"/>
      <c r="M109" s="88"/>
      <c r="N109" s="89"/>
      <c r="O109" s="121" t="s">
        <v>199</v>
      </c>
      <c r="P109" s="88"/>
      <c r="Q109" s="89"/>
      <c r="R109" s="122"/>
      <c r="S109" s="89"/>
      <c r="T109" s="133" t="s">
        <v>200</v>
      </c>
      <c r="U109" s="89"/>
      <c r="V109" s="122"/>
      <c r="W109" s="89"/>
      <c r="X109" s="122"/>
      <c r="Y109" s="89"/>
    </row>
    <row r="110" ht="39.75" customHeight="1">
      <c r="A110" s="128">
        <v>3.0</v>
      </c>
      <c r="B110" s="119" t="s">
        <v>271</v>
      </c>
      <c r="C110" s="120" t="s">
        <v>272</v>
      </c>
      <c r="D110" s="88"/>
      <c r="E110" s="88"/>
      <c r="F110" s="89"/>
      <c r="G110" s="134" t="s">
        <v>381</v>
      </c>
      <c r="H110" s="88"/>
      <c r="I110" s="88"/>
      <c r="J110" s="89"/>
      <c r="K110" s="121">
        <v>10.0</v>
      </c>
      <c r="L110" s="88"/>
      <c r="M110" s="88"/>
      <c r="N110" s="89"/>
      <c r="O110" s="121" t="s">
        <v>199</v>
      </c>
      <c r="P110" s="88"/>
      <c r="Q110" s="89"/>
      <c r="R110" s="133" t="s">
        <v>200</v>
      </c>
      <c r="S110" s="89"/>
      <c r="T110" s="122"/>
      <c r="U110" s="89"/>
      <c r="V110" s="122"/>
      <c r="W110" s="89"/>
      <c r="X110" s="122"/>
      <c r="Y110" s="89"/>
    </row>
    <row r="111" ht="39.75" customHeight="1">
      <c r="A111" s="123"/>
      <c r="B111" s="124"/>
      <c r="C111" s="124"/>
      <c r="D111" s="88"/>
      <c r="E111" s="88"/>
      <c r="F111" s="88"/>
      <c r="G111" s="124"/>
      <c r="H111" s="88"/>
      <c r="I111" s="88"/>
      <c r="J111" s="88"/>
      <c r="K111" s="124"/>
      <c r="L111" s="88"/>
      <c r="M111" s="88"/>
      <c r="N111" s="88"/>
      <c r="O111" s="124"/>
      <c r="P111" s="88"/>
      <c r="Q111" s="88"/>
      <c r="R111" s="124"/>
      <c r="S111" s="88"/>
      <c r="T111" s="124"/>
      <c r="U111" s="88"/>
      <c r="V111" s="124"/>
      <c r="W111" s="88"/>
      <c r="X111" s="124"/>
      <c r="Y111" s="88"/>
    </row>
    <row r="112" ht="39.75" customHeight="1">
      <c r="A112" s="61"/>
      <c r="B112" s="62"/>
      <c r="C112" s="62"/>
      <c r="G112" s="62"/>
      <c r="K112" s="62"/>
      <c r="O112" s="62"/>
      <c r="R112" s="62"/>
      <c r="T112" s="62"/>
      <c r="V112" s="62"/>
      <c r="X112" s="62"/>
    </row>
    <row r="113" ht="39.75" customHeight="1">
      <c r="A113" s="129"/>
      <c r="B113" s="62"/>
      <c r="C113" s="62"/>
      <c r="G113" s="62"/>
      <c r="K113" s="62"/>
      <c r="O113" s="62"/>
      <c r="R113" s="62"/>
      <c r="T113" s="62"/>
      <c r="V113" s="62"/>
      <c r="X113" s="62"/>
    </row>
    <row r="114" ht="39.75" customHeight="1">
      <c r="A114" s="61"/>
      <c r="B114" s="62"/>
      <c r="C114" s="62"/>
      <c r="G114" s="62"/>
      <c r="K114" s="62"/>
      <c r="O114" s="62"/>
      <c r="R114" s="62"/>
      <c r="T114" s="62"/>
      <c r="V114" s="62"/>
      <c r="X114" s="62"/>
    </row>
    <row r="115" ht="39.75" customHeight="1"/>
    <row r="116" ht="39.75" customHeight="1"/>
    <row r="117" ht="39.75" customHeight="1"/>
    <row r="118" ht="39.75" customHeight="1"/>
    <row r="119" ht="39.75" customHeight="1"/>
    <row r="120" ht="39.75" customHeight="1">
      <c r="A120" s="126">
        <v>10.0</v>
      </c>
      <c r="B120" s="138" t="s">
        <v>134</v>
      </c>
      <c r="C120" s="104" t="str">
        <f>'Invetario de Tablas'!B13</f>
        <v>tipo_producto</v>
      </c>
      <c r="D120" s="105"/>
      <c r="E120" s="105"/>
      <c r="F120" s="106"/>
      <c r="G120" s="139" t="s">
        <v>135</v>
      </c>
      <c r="H120" s="32"/>
      <c r="I120" s="32"/>
      <c r="J120" s="33"/>
      <c r="K120" s="107" t="str">
        <f>'Invetario de Tablas'!C13</f>
        <v>interaccion de un tipo de producto</v>
      </c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6"/>
      <c r="X120" s="144" t="s">
        <v>186</v>
      </c>
      <c r="Y120" s="117" t="str">
        <f>Y3</f>
        <v>1.0</v>
      </c>
    </row>
    <row r="121" ht="39.75" customHeight="1">
      <c r="A121" s="145" t="s">
        <v>1</v>
      </c>
      <c r="B121" s="142" t="s">
        <v>187</v>
      </c>
      <c r="C121" s="146" t="s">
        <v>188</v>
      </c>
      <c r="D121" s="147"/>
      <c r="E121" s="147"/>
      <c r="F121" s="148"/>
      <c r="G121" s="143" t="s">
        <v>379</v>
      </c>
      <c r="H121" s="5"/>
      <c r="I121" s="5"/>
      <c r="J121" s="6"/>
      <c r="K121" s="146" t="s">
        <v>190</v>
      </c>
      <c r="L121" s="147"/>
      <c r="M121" s="147"/>
      <c r="N121" s="148"/>
      <c r="O121" s="146" t="s">
        <v>191</v>
      </c>
      <c r="P121" s="147"/>
      <c r="Q121" s="148"/>
      <c r="R121" s="146" t="s">
        <v>192</v>
      </c>
      <c r="S121" s="148"/>
      <c r="T121" s="146" t="s">
        <v>193</v>
      </c>
      <c r="U121" s="148"/>
      <c r="V121" s="146" t="s">
        <v>194</v>
      </c>
      <c r="W121" s="148"/>
      <c r="X121" s="143" t="s">
        <v>195</v>
      </c>
      <c r="Y121" s="40"/>
    </row>
    <row r="122" ht="39.75" customHeight="1">
      <c r="A122" s="127">
        <v>1.0</v>
      </c>
      <c r="B122" s="42" t="s">
        <v>273</v>
      </c>
      <c r="C122" s="43" t="s">
        <v>274</v>
      </c>
      <c r="D122" s="5"/>
      <c r="E122" s="5"/>
      <c r="F122" s="6"/>
      <c r="G122" s="94" t="s">
        <v>381</v>
      </c>
      <c r="H122" s="5"/>
      <c r="I122" s="5"/>
      <c r="J122" s="6"/>
      <c r="K122" s="45">
        <v>5.0</v>
      </c>
      <c r="L122" s="5"/>
      <c r="M122" s="5"/>
      <c r="N122" s="6"/>
      <c r="O122" s="45" t="s">
        <v>199</v>
      </c>
      <c r="P122" s="5"/>
      <c r="Q122" s="6"/>
      <c r="R122" s="46" t="s">
        <v>200</v>
      </c>
      <c r="S122" s="6"/>
      <c r="T122" s="47"/>
      <c r="U122" s="6"/>
      <c r="V122" s="47"/>
      <c r="W122" s="6"/>
      <c r="X122" s="47"/>
      <c r="Y122" s="6"/>
    </row>
    <row r="123" ht="39.75" customHeight="1">
      <c r="A123" s="128">
        <v>2.0</v>
      </c>
      <c r="B123" s="119" t="s">
        <v>275</v>
      </c>
      <c r="C123" s="120" t="s">
        <v>276</v>
      </c>
      <c r="D123" s="88"/>
      <c r="E123" s="88"/>
      <c r="F123" s="89"/>
      <c r="G123" s="121" t="s">
        <v>203</v>
      </c>
      <c r="H123" s="88"/>
      <c r="I123" s="88"/>
      <c r="J123" s="89"/>
      <c r="K123" s="121">
        <v>50.0</v>
      </c>
      <c r="L123" s="88"/>
      <c r="M123" s="88"/>
      <c r="N123" s="89"/>
      <c r="O123" s="121" t="s">
        <v>199</v>
      </c>
      <c r="P123" s="88"/>
      <c r="Q123" s="89"/>
      <c r="R123" s="122"/>
      <c r="S123" s="89"/>
      <c r="T123" s="122"/>
      <c r="U123" s="89"/>
      <c r="V123" s="122"/>
      <c r="W123" s="89"/>
      <c r="X123" s="122"/>
      <c r="Y123" s="89"/>
    </row>
    <row r="124" ht="39.75" customHeight="1">
      <c r="A124" s="123"/>
      <c r="B124" s="124"/>
      <c r="C124" s="124"/>
      <c r="D124" s="88"/>
      <c r="E124" s="88"/>
      <c r="F124" s="88"/>
      <c r="G124" s="124"/>
      <c r="H124" s="88"/>
      <c r="I124" s="88"/>
      <c r="J124" s="88"/>
      <c r="K124" s="124"/>
      <c r="L124" s="88"/>
      <c r="M124" s="88"/>
      <c r="N124" s="88"/>
      <c r="O124" s="124"/>
      <c r="P124" s="88"/>
      <c r="Q124" s="88"/>
      <c r="R124" s="124"/>
      <c r="S124" s="88"/>
      <c r="T124" s="124"/>
      <c r="U124" s="88"/>
      <c r="V124" s="124"/>
      <c r="W124" s="88"/>
      <c r="X124" s="124"/>
      <c r="Y124" s="88"/>
    </row>
    <row r="125" ht="39.75" customHeight="1">
      <c r="A125" s="61"/>
      <c r="B125" s="62"/>
      <c r="C125" s="62"/>
      <c r="G125" s="62"/>
      <c r="K125" s="62"/>
      <c r="O125" s="62"/>
      <c r="R125" s="62"/>
      <c r="T125" s="62"/>
      <c r="V125" s="62"/>
      <c r="X125" s="62"/>
    </row>
    <row r="126" ht="39.75" customHeight="1">
      <c r="A126" s="61"/>
      <c r="B126" s="62"/>
      <c r="C126" s="62"/>
      <c r="G126" s="62"/>
      <c r="K126" s="62"/>
      <c r="O126" s="62"/>
      <c r="R126" s="62"/>
      <c r="T126" s="62"/>
      <c r="V126" s="62"/>
      <c r="X126" s="62"/>
    </row>
    <row r="127" ht="39.75" customHeight="1">
      <c r="A127" s="129"/>
      <c r="B127" s="62"/>
      <c r="C127" s="62"/>
      <c r="G127" s="62"/>
      <c r="K127" s="62"/>
      <c r="O127" s="62"/>
      <c r="R127" s="62"/>
      <c r="T127" s="62"/>
      <c r="V127" s="62"/>
      <c r="X127" s="62"/>
    </row>
    <row r="128" ht="39.75" customHeight="1">
      <c r="A128" s="61"/>
      <c r="B128" s="62"/>
      <c r="C128" s="62"/>
      <c r="G128" s="62"/>
      <c r="K128" s="62"/>
      <c r="O128" s="62"/>
      <c r="R128" s="62"/>
      <c r="T128" s="62"/>
      <c r="V128" s="62"/>
      <c r="X128" s="62"/>
    </row>
    <row r="129" ht="39.75" customHeight="1"/>
    <row r="130" ht="39.75" customHeight="1"/>
    <row r="131" ht="39.75" customHeight="1"/>
    <row r="132" ht="39.75" customHeight="1"/>
    <row r="133" ht="39.75" customHeight="1"/>
    <row r="134" ht="39.75" customHeight="1">
      <c r="A134" s="126">
        <v>11.0</v>
      </c>
      <c r="B134" s="138" t="s">
        <v>134</v>
      </c>
      <c r="C134" s="104" t="str">
        <f>'Invetario de Tablas'!B14</f>
        <v>producto</v>
      </c>
      <c r="D134" s="105"/>
      <c r="E134" s="105"/>
      <c r="F134" s="106"/>
      <c r="G134" s="139" t="s">
        <v>135</v>
      </c>
      <c r="H134" s="32"/>
      <c r="I134" s="32"/>
      <c r="J134" s="33"/>
      <c r="K134" s="107" t="str">
        <f>'Invetario de Tablas'!C14</f>
        <v>artículos disponibles en la plataforma</v>
      </c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6"/>
      <c r="X134" s="144" t="s">
        <v>186</v>
      </c>
      <c r="Y134" s="117" t="str">
        <f>Y3</f>
        <v>1.0</v>
      </c>
    </row>
    <row r="135" ht="39.75" customHeight="1">
      <c r="A135" s="145" t="s">
        <v>1</v>
      </c>
      <c r="B135" s="142" t="s">
        <v>187</v>
      </c>
      <c r="C135" s="146" t="s">
        <v>188</v>
      </c>
      <c r="D135" s="147"/>
      <c r="E135" s="147"/>
      <c r="F135" s="148"/>
      <c r="G135" s="143" t="s">
        <v>379</v>
      </c>
      <c r="H135" s="5"/>
      <c r="I135" s="5"/>
      <c r="J135" s="6"/>
      <c r="K135" s="146" t="s">
        <v>190</v>
      </c>
      <c r="L135" s="147"/>
      <c r="M135" s="147"/>
      <c r="N135" s="148"/>
      <c r="O135" s="146" t="s">
        <v>191</v>
      </c>
      <c r="P135" s="147"/>
      <c r="Q135" s="148"/>
      <c r="R135" s="146" t="s">
        <v>192</v>
      </c>
      <c r="S135" s="148"/>
      <c r="T135" s="146" t="s">
        <v>193</v>
      </c>
      <c r="U135" s="148"/>
      <c r="V135" s="146" t="s">
        <v>194</v>
      </c>
      <c r="W135" s="148"/>
      <c r="X135" s="143" t="s">
        <v>195</v>
      </c>
      <c r="Y135" s="40"/>
    </row>
    <row r="136" ht="39.75" customHeight="1">
      <c r="A136" s="127">
        <v>1.0</v>
      </c>
      <c r="B136" s="42" t="s">
        <v>277</v>
      </c>
      <c r="C136" s="43" t="s">
        <v>278</v>
      </c>
      <c r="D136" s="5"/>
      <c r="E136" s="5"/>
      <c r="F136" s="6"/>
      <c r="G136" s="45" t="s">
        <v>203</v>
      </c>
      <c r="H136" s="5"/>
      <c r="I136" s="5"/>
      <c r="J136" s="6"/>
      <c r="K136" s="45">
        <v>80.0</v>
      </c>
      <c r="L136" s="5"/>
      <c r="M136" s="5"/>
      <c r="N136" s="6"/>
      <c r="O136" s="45" t="s">
        <v>199</v>
      </c>
      <c r="P136" s="5"/>
      <c r="Q136" s="6"/>
      <c r="R136" s="47"/>
      <c r="S136" s="6"/>
      <c r="T136" s="47"/>
      <c r="U136" s="6"/>
      <c r="V136" s="47"/>
      <c r="W136" s="6"/>
      <c r="X136" s="47"/>
      <c r="Y136" s="6"/>
    </row>
    <row r="137" ht="39.75" customHeight="1">
      <c r="A137" s="127">
        <v>2.0</v>
      </c>
      <c r="B137" s="42" t="s">
        <v>279</v>
      </c>
      <c r="C137" s="43" t="s">
        <v>280</v>
      </c>
      <c r="D137" s="5"/>
      <c r="E137" s="5"/>
      <c r="F137" s="6"/>
      <c r="G137" s="149" t="s">
        <v>374</v>
      </c>
      <c r="H137" s="5"/>
      <c r="I137" s="5"/>
      <c r="J137" s="6"/>
      <c r="K137" s="45">
        <v>10.2</v>
      </c>
      <c r="L137" s="5"/>
      <c r="M137" s="5"/>
      <c r="N137" s="6"/>
      <c r="O137" s="45" t="s">
        <v>199</v>
      </c>
      <c r="P137" s="5"/>
      <c r="Q137" s="6"/>
      <c r="R137" s="47"/>
      <c r="S137" s="6"/>
      <c r="T137" s="47"/>
      <c r="U137" s="6"/>
      <c r="V137" s="47"/>
      <c r="W137" s="6"/>
      <c r="X137" s="47"/>
      <c r="Y137" s="6"/>
    </row>
    <row r="138" ht="39.75" customHeight="1">
      <c r="A138" s="127">
        <v>3.0</v>
      </c>
      <c r="B138" s="42" t="s">
        <v>273</v>
      </c>
      <c r="C138" s="43" t="s">
        <v>282</v>
      </c>
      <c r="D138" s="5"/>
      <c r="E138" s="5"/>
      <c r="F138" s="6"/>
      <c r="G138" s="116" t="s">
        <v>371</v>
      </c>
      <c r="H138" s="5"/>
      <c r="I138" s="5"/>
      <c r="J138" s="6"/>
      <c r="K138" s="45">
        <v>5.0</v>
      </c>
      <c r="L138" s="5"/>
      <c r="M138" s="5"/>
      <c r="N138" s="6"/>
      <c r="O138" s="45" t="s">
        <v>199</v>
      </c>
      <c r="P138" s="5"/>
      <c r="Q138" s="6"/>
      <c r="R138" s="47"/>
      <c r="S138" s="6"/>
      <c r="T138" s="46" t="s">
        <v>200</v>
      </c>
      <c r="U138" s="6"/>
      <c r="V138" s="47"/>
      <c r="W138" s="6"/>
      <c r="X138" s="47"/>
      <c r="Y138" s="6"/>
    </row>
    <row r="139" ht="39.75" customHeight="1">
      <c r="A139" s="128">
        <v>4.0</v>
      </c>
      <c r="B139" s="119" t="s">
        <v>283</v>
      </c>
      <c r="C139" s="120" t="s">
        <v>284</v>
      </c>
      <c r="D139" s="88"/>
      <c r="E139" s="88"/>
      <c r="F139" s="89"/>
      <c r="G139" s="134" t="s">
        <v>381</v>
      </c>
      <c r="H139" s="88"/>
      <c r="I139" s="88"/>
      <c r="J139" s="89"/>
      <c r="K139" s="121">
        <v>10.0</v>
      </c>
      <c r="L139" s="88"/>
      <c r="M139" s="88"/>
      <c r="N139" s="89"/>
      <c r="O139" s="121" t="s">
        <v>199</v>
      </c>
      <c r="P139" s="88"/>
      <c r="Q139" s="89"/>
      <c r="R139" s="133" t="s">
        <v>200</v>
      </c>
      <c r="S139" s="89"/>
      <c r="T139" s="122"/>
      <c r="U139" s="89"/>
      <c r="V139" s="122"/>
      <c r="W139" s="89"/>
      <c r="X139" s="122"/>
      <c r="Y139" s="89"/>
    </row>
    <row r="140" ht="39.75" customHeight="1">
      <c r="A140" s="123"/>
      <c r="B140" s="124"/>
      <c r="C140" s="124"/>
      <c r="D140" s="88"/>
      <c r="E140" s="88"/>
      <c r="F140" s="88"/>
      <c r="G140" s="124"/>
      <c r="H140" s="88"/>
      <c r="I140" s="88"/>
      <c r="J140" s="88"/>
      <c r="K140" s="124"/>
      <c r="L140" s="88"/>
      <c r="M140" s="88"/>
      <c r="N140" s="88"/>
      <c r="O140" s="124"/>
      <c r="P140" s="88"/>
      <c r="Q140" s="88"/>
      <c r="R140" s="124"/>
      <c r="S140" s="88"/>
      <c r="T140" s="124"/>
      <c r="U140" s="88"/>
      <c r="V140" s="124"/>
      <c r="W140" s="88"/>
      <c r="X140" s="124"/>
      <c r="Y140" s="88"/>
    </row>
    <row r="141" ht="39.75" customHeight="1">
      <c r="A141" s="129"/>
      <c r="B141" s="62"/>
      <c r="C141" s="62"/>
      <c r="G141" s="62"/>
      <c r="K141" s="62"/>
      <c r="O141" s="62"/>
      <c r="R141" s="62"/>
      <c r="T141" s="62"/>
      <c r="V141" s="62"/>
      <c r="X141" s="62"/>
    </row>
    <row r="142" ht="39.75" customHeight="1">
      <c r="A142" s="61"/>
      <c r="B142" s="62"/>
      <c r="C142" s="62"/>
      <c r="G142" s="62"/>
      <c r="K142" s="62"/>
      <c r="O142" s="62"/>
      <c r="R142" s="62"/>
      <c r="T142" s="62"/>
      <c r="V142" s="62"/>
      <c r="X142" s="62"/>
    </row>
    <row r="143" ht="39.75" customHeight="1"/>
    <row r="144" ht="39.75" customHeight="1"/>
    <row r="145" ht="39.75" customHeight="1"/>
    <row r="146" ht="39.75" customHeight="1"/>
    <row r="147" ht="39.75" customHeight="1"/>
    <row r="148" ht="39.75" customHeight="1">
      <c r="A148" s="126">
        <v>12.0</v>
      </c>
      <c r="B148" s="138" t="s">
        <v>134</v>
      </c>
      <c r="C148" s="104" t="str">
        <f>'Invetario de Tablas'!B15</f>
        <v>tipo_evento</v>
      </c>
      <c r="D148" s="105"/>
      <c r="E148" s="105"/>
      <c r="F148" s="106"/>
      <c r="G148" s="139" t="s">
        <v>135</v>
      </c>
      <c r="H148" s="32"/>
      <c r="I148" s="32"/>
      <c r="J148" s="33"/>
      <c r="K148" s="107" t="str">
        <f>'Invetario de Tablas'!C15</f>
        <v>interaccion de un tipo de evento</v>
      </c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6"/>
      <c r="X148" s="144" t="s">
        <v>186</v>
      </c>
      <c r="Y148" s="117" t="str">
        <f>Y3</f>
        <v>1.0</v>
      </c>
    </row>
    <row r="149" ht="39.75" customHeight="1">
      <c r="A149" s="145" t="s">
        <v>1</v>
      </c>
      <c r="B149" s="142" t="s">
        <v>187</v>
      </c>
      <c r="C149" s="146" t="s">
        <v>188</v>
      </c>
      <c r="D149" s="147"/>
      <c r="E149" s="147"/>
      <c r="F149" s="148"/>
      <c r="G149" s="143" t="s">
        <v>379</v>
      </c>
      <c r="H149" s="5"/>
      <c r="I149" s="5"/>
      <c r="J149" s="6"/>
      <c r="K149" s="146" t="s">
        <v>190</v>
      </c>
      <c r="L149" s="147"/>
      <c r="M149" s="147"/>
      <c r="N149" s="148"/>
      <c r="O149" s="146" t="s">
        <v>191</v>
      </c>
      <c r="P149" s="147"/>
      <c r="Q149" s="148"/>
      <c r="R149" s="146" t="s">
        <v>192</v>
      </c>
      <c r="S149" s="148"/>
      <c r="T149" s="146" t="s">
        <v>193</v>
      </c>
      <c r="U149" s="148"/>
      <c r="V149" s="146" t="s">
        <v>194</v>
      </c>
      <c r="W149" s="148"/>
      <c r="X149" s="143" t="s">
        <v>195</v>
      </c>
      <c r="Y149" s="40"/>
    </row>
    <row r="150" ht="39.75" customHeight="1">
      <c r="A150" s="127">
        <v>1.0</v>
      </c>
      <c r="B150" s="42" t="s">
        <v>285</v>
      </c>
      <c r="C150" s="43" t="s">
        <v>286</v>
      </c>
      <c r="D150" s="5"/>
      <c r="E150" s="5"/>
      <c r="F150" s="6"/>
      <c r="G150" s="94" t="s">
        <v>381</v>
      </c>
      <c r="H150" s="5"/>
      <c r="I150" s="5"/>
      <c r="J150" s="6"/>
      <c r="K150" s="45">
        <v>5.0</v>
      </c>
      <c r="L150" s="5"/>
      <c r="M150" s="5"/>
      <c r="N150" s="6"/>
      <c r="O150" s="45" t="s">
        <v>199</v>
      </c>
      <c r="P150" s="5"/>
      <c r="Q150" s="6"/>
      <c r="R150" s="46" t="s">
        <v>200</v>
      </c>
      <c r="S150" s="6"/>
      <c r="T150" s="47"/>
      <c r="U150" s="6"/>
      <c r="V150" s="47"/>
      <c r="W150" s="6"/>
      <c r="X150" s="47"/>
      <c r="Y150" s="6"/>
    </row>
    <row r="151" ht="39.75" customHeight="1">
      <c r="A151" s="128">
        <v>2.0</v>
      </c>
      <c r="B151" s="119" t="s">
        <v>287</v>
      </c>
      <c r="C151" s="120" t="s">
        <v>288</v>
      </c>
      <c r="D151" s="88"/>
      <c r="E151" s="88"/>
      <c r="F151" s="89"/>
      <c r="G151" s="121" t="s">
        <v>203</v>
      </c>
      <c r="H151" s="88"/>
      <c r="I151" s="88"/>
      <c r="J151" s="89"/>
      <c r="K151" s="121">
        <v>50.0</v>
      </c>
      <c r="L151" s="88"/>
      <c r="M151" s="88"/>
      <c r="N151" s="89"/>
      <c r="O151" s="121" t="s">
        <v>199</v>
      </c>
      <c r="P151" s="88"/>
      <c r="Q151" s="89"/>
      <c r="R151" s="122"/>
      <c r="S151" s="89"/>
      <c r="T151" s="122"/>
      <c r="U151" s="89"/>
      <c r="V151" s="122"/>
      <c r="W151" s="89"/>
      <c r="X151" s="122"/>
      <c r="Y151" s="89"/>
    </row>
    <row r="152" ht="39.75" customHeight="1">
      <c r="A152" s="123"/>
      <c r="B152" s="124"/>
      <c r="C152" s="124"/>
      <c r="D152" s="88"/>
      <c r="E152" s="88"/>
      <c r="F152" s="88"/>
      <c r="G152" s="124"/>
      <c r="H152" s="88"/>
      <c r="I152" s="88"/>
      <c r="J152" s="88"/>
      <c r="K152" s="124"/>
      <c r="L152" s="88"/>
      <c r="M152" s="88"/>
      <c r="N152" s="88"/>
      <c r="O152" s="124"/>
      <c r="P152" s="88"/>
      <c r="Q152" s="88"/>
      <c r="R152" s="124"/>
      <c r="S152" s="88"/>
      <c r="T152" s="124"/>
      <c r="U152" s="88"/>
      <c r="V152" s="124"/>
      <c r="W152" s="88"/>
      <c r="X152" s="124"/>
      <c r="Y152" s="88"/>
    </row>
    <row r="153" ht="39.75" customHeight="1">
      <c r="A153" s="61"/>
      <c r="B153" s="62"/>
      <c r="C153" s="62"/>
      <c r="G153" s="62"/>
      <c r="K153" s="62"/>
      <c r="O153" s="62"/>
      <c r="R153" s="62"/>
      <c r="T153" s="62"/>
      <c r="V153" s="62"/>
      <c r="X153" s="62"/>
    </row>
    <row r="154" ht="39.75" customHeight="1">
      <c r="A154" s="61"/>
      <c r="B154" s="62"/>
      <c r="C154" s="62"/>
      <c r="G154" s="62"/>
      <c r="K154" s="62"/>
      <c r="O154" s="62"/>
      <c r="R154" s="62"/>
      <c r="T154" s="62"/>
      <c r="V154" s="62"/>
      <c r="X154" s="62"/>
    </row>
    <row r="155" ht="39.75" customHeight="1">
      <c r="A155" s="129"/>
      <c r="B155" s="62"/>
      <c r="C155" s="62"/>
      <c r="G155" s="62"/>
      <c r="K155" s="62"/>
      <c r="O155" s="62"/>
      <c r="R155" s="62"/>
      <c r="T155" s="62"/>
      <c r="V155" s="62"/>
      <c r="X155" s="62"/>
    </row>
    <row r="156" ht="39.75" customHeight="1">
      <c r="A156" s="61"/>
      <c r="B156" s="62"/>
      <c r="C156" s="62"/>
      <c r="G156" s="62"/>
      <c r="K156" s="62"/>
      <c r="O156" s="62"/>
      <c r="R156" s="62"/>
      <c r="T156" s="62"/>
      <c r="V156" s="62"/>
      <c r="X156" s="62"/>
    </row>
    <row r="157" ht="39.75" customHeight="1"/>
    <row r="158" ht="39.75" customHeight="1"/>
    <row r="159" ht="39.75" customHeight="1"/>
    <row r="160" ht="39.75" customHeight="1"/>
    <row r="161" ht="39.75" customHeight="1"/>
    <row r="162" ht="39.75" customHeight="1">
      <c r="A162" s="126">
        <v>13.0</v>
      </c>
      <c r="B162" s="138" t="s">
        <v>134</v>
      </c>
      <c r="C162" s="104" t="str">
        <f>'Invetario de Tablas'!B16</f>
        <v>evento</v>
      </c>
      <c r="D162" s="105"/>
      <c r="E162" s="105"/>
      <c r="F162" s="106"/>
      <c r="G162" s="139" t="s">
        <v>135</v>
      </c>
      <c r="H162" s="32"/>
      <c r="I162" s="32"/>
      <c r="J162" s="33"/>
      <c r="K162" s="107" t="str">
        <f>'Invetario de Tablas'!C16</f>
        <v>organización de grandes reuniones que incitan el aprendizaje</v>
      </c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6"/>
      <c r="X162" s="144" t="s">
        <v>186</v>
      </c>
      <c r="Y162" s="117" t="str">
        <f>Y3</f>
        <v>1.0</v>
      </c>
    </row>
    <row r="163" ht="39.75" customHeight="1">
      <c r="A163" s="145" t="s">
        <v>1</v>
      </c>
      <c r="B163" s="142" t="s">
        <v>187</v>
      </c>
      <c r="C163" s="146" t="s">
        <v>188</v>
      </c>
      <c r="D163" s="147"/>
      <c r="E163" s="147"/>
      <c r="F163" s="148"/>
      <c r="G163" s="143" t="s">
        <v>379</v>
      </c>
      <c r="H163" s="5"/>
      <c r="I163" s="5"/>
      <c r="J163" s="6"/>
      <c r="K163" s="146" t="s">
        <v>190</v>
      </c>
      <c r="L163" s="147"/>
      <c r="M163" s="147"/>
      <c r="N163" s="148"/>
      <c r="O163" s="146" t="s">
        <v>191</v>
      </c>
      <c r="P163" s="147"/>
      <c r="Q163" s="148"/>
      <c r="R163" s="146" t="s">
        <v>192</v>
      </c>
      <c r="S163" s="148"/>
      <c r="T163" s="146" t="s">
        <v>193</v>
      </c>
      <c r="U163" s="148"/>
      <c r="V163" s="146" t="s">
        <v>194</v>
      </c>
      <c r="W163" s="148"/>
      <c r="X163" s="143" t="s">
        <v>195</v>
      </c>
      <c r="Y163" s="40"/>
    </row>
    <row r="164" ht="39.75" customHeight="1">
      <c r="A164" s="41">
        <v>1.0</v>
      </c>
      <c r="B164" s="42" t="s">
        <v>289</v>
      </c>
      <c r="C164" s="43" t="s">
        <v>290</v>
      </c>
      <c r="D164" s="5"/>
      <c r="E164" s="5"/>
      <c r="F164" s="6"/>
      <c r="G164" s="45" t="s">
        <v>203</v>
      </c>
      <c r="H164" s="5"/>
      <c r="I164" s="5"/>
      <c r="J164" s="6"/>
      <c r="K164" s="45">
        <v>100.0</v>
      </c>
      <c r="L164" s="5"/>
      <c r="M164" s="5"/>
      <c r="N164" s="6"/>
      <c r="O164" s="45" t="s">
        <v>199</v>
      </c>
      <c r="P164" s="5"/>
      <c r="Q164" s="6"/>
      <c r="R164" s="47"/>
      <c r="S164" s="6"/>
      <c r="T164" s="47"/>
      <c r="U164" s="6"/>
      <c r="V164" s="47"/>
      <c r="W164" s="6"/>
      <c r="X164" s="47"/>
      <c r="Y164" s="6"/>
    </row>
    <row r="165" ht="39.75" customHeight="1">
      <c r="A165" s="41">
        <v>2.0</v>
      </c>
      <c r="B165" s="42" t="s">
        <v>291</v>
      </c>
      <c r="C165" s="43" t="s">
        <v>292</v>
      </c>
      <c r="D165" s="5"/>
      <c r="E165" s="5"/>
      <c r="F165" s="6"/>
      <c r="G165" s="45" t="s">
        <v>245</v>
      </c>
      <c r="H165" s="5"/>
      <c r="I165" s="5"/>
      <c r="J165" s="6"/>
      <c r="K165" s="45">
        <v>10.0</v>
      </c>
      <c r="L165" s="5"/>
      <c r="M165" s="5"/>
      <c r="N165" s="6"/>
      <c r="O165" s="45" t="s">
        <v>199</v>
      </c>
      <c r="P165" s="5"/>
      <c r="Q165" s="6"/>
      <c r="R165" s="47"/>
      <c r="S165" s="6"/>
      <c r="T165" s="47"/>
      <c r="U165" s="6"/>
      <c r="V165" s="47"/>
      <c r="W165" s="6"/>
      <c r="X165" s="47"/>
      <c r="Y165" s="6"/>
    </row>
    <row r="166" ht="39.75" customHeight="1">
      <c r="A166" s="41">
        <v>3.0</v>
      </c>
      <c r="B166" s="42" t="s">
        <v>293</v>
      </c>
      <c r="C166" s="43" t="s">
        <v>294</v>
      </c>
      <c r="D166" s="5"/>
      <c r="E166" s="5"/>
      <c r="F166" s="6"/>
      <c r="G166" s="45" t="s">
        <v>203</v>
      </c>
      <c r="H166" s="5"/>
      <c r="I166" s="5"/>
      <c r="J166" s="6"/>
      <c r="K166" s="45">
        <v>5.0</v>
      </c>
      <c r="L166" s="5"/>
      <c r="M166" s="5"/>
      <c r="N166" s="6"/>
      <c r="O166" s="45" t="s">
        <v>199</v>
      </c>
      <c r="P166" s="5"/>
      <c r="Q166" s="6"/>
      <c r="R166" s="47"/>
      <c r="S166" s="6"/>
      <c r="T166" s="47"/>
      <c r="U166" s="6"/>
      <c r="V166" s="47"/>
      <c r="W166" s="6"/>
      <c r="X166" s="47"/>
      <c r="Y166" s="6"/>
    </row>
    <row r="167" ht="39.75" customHeight="1">
      <c r="A167" s="41">
        <v>4.0</v>
      </c>
      <c r="B167" s="42" t="s">
        <v>295</v>
      </c>
      <c r="C167" s="43" t="s">
        <v>296</v>
      </c>
      <c r="D167" s="5"/>
      <c r="E167" s="5"/>
      <c r="F167" s="6"/>
      <c r="G167" s="45" t="s">
        <v>203</v>
      </c>
      <c r="H167" s="5"/>
      <c r="I167" s="5"/>
      <c r="J167" s="6"/>
      <c r="K167" s="45">
        <v>50.0</v>
      </c>
      <c r="L167" s="5"/>
      <c r="M167" s="5"/>
      <c r="N167" s="6"/>
      <c r="O167" s="45" t="s">
        <v>199</v>
      </c>
      <c r="P167" s="5"/>
      <c r="Q167" s="6"/>
      <c r="R167" s="47"/>
      <c r="S167" s="6"/>
      <c r="T167" s="47"/>
      <c r="U167" s="6"/>
      <c r="V167" s="47"/>
      <c r="W167" s="6"/>
      <c r="X167" s="47"/>
      <c r="Y167" s="6"/>
    </row>
    <row r="168" ht="39.75" customHeight="1">
      <c r="A168" s="41">
        <v>5.0</v>
      </c>
      <c r="B168" s="42" t="s">
        <v>285</v>
      </c>
      <c r="C168" s="43" t="s">
        <v>286</v>
      </c>
      <c r="D168" s="5"/>
      <c r="E168" s="5"/>
      <c r="F168" s="6"/>
      <c r="G168" s="116" t="s">
        <v>371</v>
      </c>
      <c r="H168" s="5"/>
      <c r="I168" s="5"/>
      <c r="J168" s="6"/>
      <c r="K168" s="45">
        <v>5.0</v>
      </c>
      <c r="L168" s="5"/>
      <c r="M168" s="5"/>
      <c r="N168" s="6"/>
      <c r="O168" s="45" t="s">
        <v>199</v>
      </c>
      <c r="P168" s="5"/>
      <c r="Q168" s="6"/>
      <c r="R168" s="47"/>
      <c r="S168" s="6"/>
      <c r="T168" s="46" t="s">
        <v>200</v>
      </c>
      <c r="U168" s="6"/>
      <c r="V168" s="47"/>
      <c r="W168" s="6"/>
      <c r="X168" s="47"/>
      <c r="Y168" s="6"/>
    </row>
    <row r="169" ht="39.75" customHeight="1">
      <c r="A169" s="41">
        <v>6.0</v>
      </c>
      <c r="B169" s="42" t="s">
        <v>196</v>
      </c>
      <c r="C169" s="43" t="s">
        <v>297</v>
      </c>
      <c r="D169" s="5"/>
      <c r="E169" s="5"/>
      <c r="F169" s="6"/>
      <c r="G169" s="116" t="s">
        <v>371</v>
      </c>
      <c r="H169" s="5"/>
      <c r="I169" s="5"/>
      <c r="J169" s="6"/>
      <c r="K169" s="45">
        <v>15.0</v>
      </c>
      <c r="L169" s="5"/>
      <c r="M169" s="5"/>
      <c r="N169" s="6"/>
      <c r="O169" s="45" t="s">
        <v>199</v>
      </c>
      <c r="P169" s="5"/>
      <c r="Q169" s="6"/>
      <c r="R169" s="47"/>
      <c r="S169" s="6"/>
      <c r="T169" s="46" t="s">
        <v>200</v>
      </c>
      <c r="U169" s="6"/>
      <c r="V169" s="47"/>
      <c r="W169" s="6"/>
      <c r="X169" s="47"/>
      <c r="Y169" s="6"/>
    </row>
    <row r="170" ht="39.75" customHeight="1">
      <c r="A170" s="41">
        <v>7.0</v>
      </c>
      <c r="B170" s="42" t="s">
        <v>298</v>
      </c>
      <c r="C170" s="43" t="s">
        <v>299</v>
      </c>
      <c r="D170" s="5"/>
      <c r="E170" s="5"/>
      <c r="F170" s="6"/>
      <c r="G170" s="94" t="s">
        <v>381</v>
      </c>
      <c r="H170" s="5"/>
      <c r="I170" s="5"/>
      <c r="J170" s="6"/>
      <c r="K170" s="45">
        <v>5.0</v>
      </c>
      <c r="L170" s="5"/>
      <c r="M170" s="5"/>
      <c r="N170" s="6"/>
      <c r="O170" s="45" t="s">
        <v>199</v>
      </c>
      <c r="P170" s="5"/>
      <c r="Q170" s="6"/>
      <c r="R170" s="46" t="s">
        <v>200</v>
      </c>
      <c r="S170" s="6"/>
      <c r="T170" s="47"/>
      <c r="U170" s="6"/>
      <c r="V170" s="47"/>
      <c r="W170" s="6"/>
      <c r="X170" s="47"/>
      <c r="Y170" s="6"/>
    </row>
    <row r="171" ht="39.75" customHeight="1"/>
    <row r="172" ht="39.75" customHeight="1"/>
    <row r="173" ht="39.75" customHeight="1"/>
    <row r="174" ht="39.75" customHeight="1"/>
    <row r="175" ht="39.75" customHeight="1"/>
    <row r="176" ht="39.75" customHeight="1">
      <c r="A176" s="126">
        <v>14.0</v>
      </c>
      <c r="B176" s="138" t="s">
        <v>134</v>
      </c>
      <c r="C176" s="104" t="str">
        <f>'Invetario de Tablas'!B17</f>
        <v>venta</v>
      </c>
      <c r="D176" s="105"/>
      <c r="E176" s="105"/>
      <c r="F176" s="106"/>
      <c r="G176" s="139" t="s">
        <v>135</v>
      </c>
      <c r="H176" s="32"/>
      <c r="I176" s="32"/>
      <c r="J176" s="33"/>
      <c r="K176" s="107" t="str">
        <f>'Invetario de Tablas'!C17</f>
        <v>transacción entre el usuario y un vendedor a través de la red social pascualina</v>
      </c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6"/>
      <c r="X176" s="144" t="s">
        <v>186</v>
      </c>
      <c r="Y176" s="117" t="str">
        <f>Y3</f>
        <v>1.0</v>
      </c>
    </row>
    <row r="177" ht="39.75" customHeight="1">
      <c r="A177" s="145" t="s">
        <v>1</v>
      </c>
      <c r="B177" s="142" t="s">
        <v>187</v>
      </c>
      <c r="C177" s="146" t="s">
        <v>188</v>
      </c>
      <c r="D177" s="147"/>
      <c r="E177" s="147"/>
      <c r="F177" s="148"/>
      <c r="G177" s="143" t="s">
        <v>379</v>
      </c>
      <c r="H177" s="5"/>
      <c r="I177" s="5"/>
      <c r="J177" s="6"/>
      <c r="K177" s="146" t="s">
        <v>190</v>
      </c>
      <c r="L177" s="147"/>
      <c r="M177" s="147"/>
      <c r="N177" s="148"/>
      <c r="O177" s="146" t="s">
        <v>191</v>
      </c>
      <c r="P177" s="147"/>
      <c r="Q177" s="148"/>
      <c r="R177" s="146" t="s">
        <v>192</v>
      </c>
      <c r="S177" s="148"/>
      <c r="T177" s="146" t="s">
        <v>193</v>
      </c>
      <c r="U177" s="148"/>
      <c r="V177" s="146" t="s">
        <v>194</v>
      </c>
      <c r="W177" s="148"/>
      <c r="X177" s="143" t="s">
        <v>195</v>
      </c>
      <c r="Y177" s="40"/>
    </row>
    <row r="178" ht="39.75" customHeight="1">
      <c r="A178" s="41">
        <v>1.0</v>
      </c>
      <c r="B178" s="42" t="s">
        <v>300</v>
      </c>
      <c r="C178" s="43" t="s">
        <v>301</v>
      </c>
      <c r="D178" s="5"/>
      <c r="E178" s="5"/>
      <c r="F178" s="6"/>
      <c r="G178" s="94" t="s">
        <v>381</v>
      </c>
      <c r="H178" s="5"/>
      <c r="I178" s="5"/>
      <c r="J178" s="6"/>
      <c r="K178" s="45">
        <v>5.0</v>
      </c>
      <c r="L178" s="5"/>
      <c r="M178" s="5"/>
      <c r="N178" s="6"/>
      <c r="O178" s="45" t="s">
        <v>199</v>
      </c>
      <c r="P178" s="5"/>
      <c r="Q178" s="6"/>
      <c r="R178" s="46" t="s">
        <v>200</v>
      </c>
      <c r="S178" s="6"/>
      <c r="T178" s="47"/>
      <c r="U178" s="6"/>
      <c r="V178" s="47"/>
      <c r="W178" s="6"/>
      <c r="X178" s="47"/>
      <c r="Y178" s="6"/>
    </row>
    <row r="179" ht="39.75" customHeight="1">
      <c r="A179" s="41">
        <v>2.0</v>
      </c>
      <c r="B179" s="42" t="s">
        <v>303</v>
      </c>
      <c r="C179" s="43" t="s">
        <v>270</v>
      </c>
      <c r="D179" s="5"/>
      <c r="E179" s="5"/>
      <c r="F179" s="6"/>
      <c r="G179" s="116" t="s">
        <v>371</v>
      </c>
      <c r="H179" s="5"/>
      <c r="I179" s="5"/>
      <c r="J179" s="6"/>
      <c r="K179" s="45">
        <v>15.0</v>
      </c>
      <c r="L179" s="5"/>
      <c r="M179" s="5"/>
      <c r="N179" s="6"/>
      <c r="O179" s="45" t="s">
        <v>199</v>
      </c>
      <c r="P179" s="5"/>
      <c r="Q179" s="6"/>
      <c r="R179" s="47"/>
      <c r="S179" s="6"/>
      <c r="T179" s="46" t="s">
        <v>200</v>
      </c>
      <c r="U179" s="6"/>
      <c r="V179" s="47"/>
      <c r="W179" s="6"/>
      <c r="X179" s="47"/>
      <c r="Y179" s="6"/>
    </row>
    <row r="180" ht="39.75" customHeight="1">
      <c r="A180" s="41">
        <v>3.0</v>
      </c>
      <c r="B180" s="42" t="s">
        <v>304</v>
      </c>
      <c r="C180" s="43" t="s">
        <v>305</v>
      </c>
      <c r="D180" s="5"/>
      <c r="E180" s="5"/>
      <c r="F180" s="6"/>
      <c r="G180" s="116" t="s">
        <v>371</v>
      </c>
      <c r="H180" s="5"/>
      <c r="I180" s="5"/>
      <c r="J180" s="6"/>
      <c r="K180" s="45">
        <v>15.0</v>
      </c>
      <c r="L180" s="5"/>
      <c r="M180" s="5"/>
      <c r="N180" s="6"/>
      <c r="O180" s="45" t="s">
        <v>199</v>
      </c>
      <c r="P180" s="5"/>
      <c r="Q180" s="6"/>
      <c r="R180" s="47"/>
      <c r="S180" s="6"/>
      <c r="T180" s="46" t="s">
        <v>200</v>
      </c>
      <c r="U180" s="6"/>
      <c r="V180" s="47"/>
      <c r="W180" s="6"/>
      <c r="X180" s="47"/>
      <c r="Y180" s="6"/>
    </row>
    <row r="181" ht="39.75" customHeight="1">
      <c r="A181" s="41">
        <v>4.0</v>
      </c>
      <c r="B181" s="42" t="s">
        <v>283</v>
      </c>
      <c r="C181" s="43" t="s">
        <v>306</v>
      </c>
      <c r="D181" s="5"/>
      <c r="E181" s="5"/>
      <c r="F181" s="6"/>
      <c r="G181" s="116" t="s">
        <v>371</v>
      </c>
      <c r="H181" s="5"/>
      <c r="I181" s="5"/>
      <c r="J181" s="6"/>
      <c r="K181" s="45">
        <v>10.0</v>
      </c>
      <c r="L181" s="5"/>
      <c r="M181" s="5"/>
      <c r="N181" s="6"/>
      <c r="O181" s="45" t="s">
        <v>199</v>
      </c>
      <c r="P181" s="5"/>
      <c r="Q181" s="6"/>
      <c r="R181" s="47"/>
      <c r="S181" s="6"/>
      <c r="T181" s="46" t="s">
        <v>200</v>
      </c>
      <c r="U181" s="6"/>
      <c r="V181" s="47"/>
      <c r="W181" s="6"/>
      <c r="X181" s="47"/>
      <c r="Y181" s="6"/>
    </row>
    <row r="182" ht="39.75" customHeight="1">
      <c r="A182" s="41">
        <v>5.0</v>
      </c>
      <c r="B182" s="42" t="s">
        <v>307</v>
      </c>
      <c r="C182" s="43" t="s">
        <v>308</v>
      </c>
      <c r="D182" s="5"/>
      <c r="E182" s="5"/>
      <c r="F182" s="6"/>
      <c r="G182" s="45" t="s">
        <v>245</v>
      </c>
      <c r="H182" s="5"/>
      <c r="I182" s="5"/>
      <c r="J182" s="6"/>
      <c r="K182" s="45">
        <v>10.0</v>
      </c>
      <c r="L182" s="5"/>
      <c r="M182" s="5"/>
      <c r="N182" s="6"/>
      <c r="O182" s="45" t="s">
        <v>199</v>
      </c>
      <c r="P182" s="5"/>
      <c r="Q182" s="6"/>
      <c r="R182" s="47"/>
      <c r="S182" s="6"/>
      <c r="T182" s="47"/>
      <c r="U182" s="6"/>
      <c r="V182" s="47"/>
      <c r="W182" s="6"/>
      <c r="X182" s="47"/>
      <c r="Y182" s="6"/>
    </row>
    <row r="183" ht="39.75" customHeight="1">
      <c r="A183" s="41">
        <v>6.0</v>
      </c>
      <c r="B183" s="42" t="s">
        <v>309</v>
      </c>
      <c r="C183" s="43" t="s">
        <v>310</v>
      </c>
      <c r="D183" s="5"/>
      <c r="E183" s="5"/>
      <c r="F183" s="6"/>
      <c r="G183" s="45" t="s">
        <v>203</v>
      </c>
      <c r="H183" s="5"/>
      <c r="I183" s="5"/>
      <c r="J183" s="6"/>
      <c r="K183" s="94">
        <v>10.0</v>
      </c>
      <c r="L183" s="5"/>
      <c r="M183" s="5"/>
      <c r="N183" s="6"/>
      <c r="O183" s="45" t="s">
        <v>199</v>
      </c>
      <c r="P183" s="5"/>
      <c r="Q183" s="6"/>
      <c r="R183" s="47"/>
      <c r="S183" s="6"/>
      <c r="T183" s="47"/>
      <c r="U183" s="6"/>
      <c r="V183" s="47"/>
      <c r="W183" s="6"/>
      <c r="X183" s="47"/>
      <c r="Y183" s="6"/>
    </row>
    <row r="184" ht="39.75" customHeight="1">
      <c r="A184" s="150" t="s">
        <v>222</v>
      </c>
      <c r="B184" s="151"/>
      <c r="C184" s="152"/>
      <c r="D184" s="153"/>
      <c r="E184" s="153"/>
      <c r="F184" s="154"/>
      <c r="G184" s="152"/>
      <c r="H184" s="153"/>
      <c r="I184" s="153"/>
      <c r="J184" s="154"/>
      <c r="K184" s="152"/>
      <c r="L184" s="153"/>
      <c r="M184" s="153"/>
      <c r="N184" s="154"/>
      <c r="O184" s="152"/>
      <c r="P184" s="153"/>
      <c r="Q184" s="154"/>
      <c r="R184" s="152"/>
      <c r="S184" s="154"/>
      <c r="T184" s="152"/>
      <c r="U184" s="154"/>
      <c r="V184" s="152"/>
      <c r="W184" s="154"/>
      <c r="X184" s="152"/>
      <c r="Y184" s="155"/>
    </row>
    <row r="185" ht="39.75" customHeight="1"/>
    <row r="186" ht="39.75" customHeight="1"/>
    <row r="187" ht="39.75" customHeight="1"/>
    <row r="188" ht="39.75" customHeight="1"/>
    <row r="189" ht="39.75" customHeight="1"/>
    <row r="190" ht="48.75" customHeight="1">
      <c r="A190" s="126">
        <v>15.0</v>
      </c>
      <c r="B190" s="138" t="s">
        <v>134</v>
      </c>
      <c r="C190" s="104" t="str">
        <f>'Invetario de Tablas'!B18</f>
        <v>publicidad</v>
      </c>
      <c r="D190" s="105"/>
      <c r="E190" s="105"/>
      <c r="F190" s="106"/>
      <c r="G190" s="139" t="s">
        <v>135</v>
      </c>
      <c r="H190" s="32"/>
      <c r="I190" s="32"/>
      <c r="J190" s="33"/>
      <c r="K190" s="107" t="str">
        <f>'Invetario de Tablas'!C18</f>
        <v>apartado que promociona un evento, servicios y demás</v>
      </c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6"/>
      <c r="X190" s="144" t="s">
        <v>186</v>
      </c>
      <c r="Y190" s="117" t="str">
        <f>Y3</f>
        <v>1.0</v>
      </c>
    </row>
    <row r="191" ht="39.75" customHeight="1">
      <c r="A191" s="145" t="s">
        <v>1</v>
      </c>
      <c r="B191" s="142" t="s">
        <v>187</v>
      </c>
      <c r="C191" s="146" t="s">
        <v>188</v>
      </c>
      <c r="D191" s="147"/>
      <c r="E191" s="147"/>
      <c r="F191" s="148"/>
      <c r="G191" s="143" t="s">
        <v>379</v>
      </c>
      <c r="H191" s="5"/>
      <c r="I191" s="5"/>
      <c r="J191" s="6"/>
      <c r="K191" s="146" t="s">
        <v>190</v>
      </c>
      <c r="L191" s="147"/>
      <c r="M191" s="147"/>
      <c r="N191" s="148"/>
      <c r="O191" s="146" t="s">
        <v>191</v>
      </c>
      <c r="P191" s="147"/>
      <c r="Q191" s="148"/>
      <c r="R191" s="146" t="s">
        <v>192</v>
      </c>
      <c r="S191" s="148"/>
      <c r="T191" s="146" t="s">
        <v>193</v>
      </c>
      <c r="U191" s="148"/>
      <c r="V191" s="146" t="s">
        <v>194</v>
      </c>
      <c r="W191" s="148"/>
      <c r="X191" s="143" t="s">
        <v>195</v>
      </c>
      <c r="Y191" s="40"/>
    </row>
    <row r="192" ht="39.75" customHeight="1">
      <c r="A192" s="41">
        <v>1.0</v>
      </c>
      <c r="B192" s="42" t="s">
        <v>255</v>
      </c>
      <c r="C192" s="43" t="s">
        <v>256</v>
      </c>
      <c r="D192" s="5"/>
      <c r="E192" s="5"/>
      <c r="F192" s="6"/>
      <c r="G192" s="94" t="s">
        <v>381</v>
      </c>
      <c r="H192" s="5"/>
      <c r="I192" s="5"/>
      <c r="J192" s="6"/>
      <c r="K192" s="45">
        <v>5.0</v>
      </c>
      <c r="L192" s="5"/>
      <c r="M192" s="5"/>
      <c r="N192" s="6"/>
      <c r="O192" s="45" t="s">
        <v>199</v>
      </c>
      <c r="P192" s="5"/>
      <c r="Q192" s="6"/>
      <c r="R192" s="46" t="s">
        <v>200</v>
      </c>
      <c r="S192" s="6"/>
      <c r="T192" s="47"/>
      <c r="U192" s="6"/>
      <c r="V192" s="47"/>
      <c r="W192" s="6"/>
      <c r="X192" s="47"/>
      <c r="Y192" s="6"/>
    </row>
    <row r="193" ht="39.75" customHeight="1">
      <c r="A193" s="41">
        <v>2.0</v>
      </c>
      <c r="B193" s="42" t="s">
        <v>196</v>
      </c>
      <c r="C193" s="43" t="s">
        <v>270</v>
      </c>
      <c r="D193" s="5"/>
      <c r="E193" s="5"/>
      <c r="F193" s="6"/>
      <c r="G193" s="116" t="s">
        <v>371</v>
      </c>
      <c r="H193" s="5"/>
      <c r="I193" s="5"/>
      <c r="J193" s="6"/>
      <c r="K193" s="45">
        <v>15.0</v>
      </c>
      <c r="L193" s="5"/>
      <c r="M193" s="5"/>
      <c r="N193" s="6"/>
      <c r="O193" s="45" t="s">
        <v>199</v>
      </c>
      <c r="P193" s="5"/>
      <c r="Q193" s="6"/>
      <c r="R193" s="47"/>
      <c r="S193" s="6"/>
      <c r="T193" s="46" t="s">
        <v>200</v>
      </c>
      <c r="U193" s="6"/>
      <c r="V193" s="47"/>
      <c r="W193" s="6"/>
      <c r="X193" s="47"/>
      <c r="Y193" s="6"/>
    </row>
    <row r="194" ht="39.75" customHeight="1">
      <c r="A194" s="41">
        <v>3.0</v>
      </c>
      <c r="B194" s="42" t="s">
        <v>311</v>
      </c>
      <c r="C194" s="43" t="s">
        <v>312</v>
      </c>
      <c r="D194" s="5"/>
      <c r="E194" s="5"/>
      <c r="F194" s="6"/>
      <c r="G194" s="45" t="s">
        <v>203</v>
      </c>
      <c r="H194" s="5"/>
      <c r="I194" s="5"/>
      <c r="J194" s="6"/>
      <c r="K194" s="45">
        <v>20.0</v>
      </c>
      <c r="L194" s="5"/>
      <c r="M194" s="5"/>
      <c r="N194" s="6"/>
      <c r="O194" s="45" t="s">
        <v>199</v>
      </c>
      <c r="P194" s="5"/>
      <c r="Q194" s="6"/>
      <c r="R194" s="47"/>
      <c r="S194" s="6"/>
      <c r="T194" s="47"/>
      <c r="U194" s="6"/>
      <c r="V194" s="47"/>
      <c r="W194" s="6"/>
      <c r="X194" s="47"/>
      <c r="Y194" s="6"/>
    </row>
    <row r="195" ht="39.75" customHeight="1">
      <c r="A195" s="41">
        <v>4.0</v>
      </c>
      <c r="B195" s="42" t="s">
        <v>313</v>
      </c>
      <c r="C195" s="43" t="s">
        <v>314</v>
      </c>
      <c r="D195" s="5"/>
      <c r="E195" s="5"/>
      <c r="F195" s="6"/>
      <c r="G195" s="45" t="s">
        <v>203</v>
      </c>
      <c r="H195" s="5"/>
      <c r="I195" s="5"/>
      <c r="J195" s="6"/>
      <c r="K195" s="45">
        <v>200.0</v>
      </c>
      <c r="L195" s="5"/>
      <c r="M195" s="5"/>
      <c r="N195" s="6"/>
      <c r="O195" s="45" t="s">
        <v>199</v>
      </c>
      <c r="P195" s="5"/>
      <c r="Q195" s="6"/>
      <c r="R195" s="47"/>
      <c r="S195" s="6"/>
      <c r="T195" s="47"/>
      <c r="U195" s="6"/>
      <c r="V195" s="47"/>
      <c r="W195" s="6"/>
      <c r="X195" s="47"/>
      <c r="Y195" s="6"/>
    </row>
    <row r="196" ht="39.75" customHeight="1">
      <c r="A196" s="41">
        <v>5.0</v>
      </c>
      <c r="B196" s="42" t="s">
        <v>315</v>
      </c>
      <c r="C196" s="43" t="s">
        <v>316</v>
      </c>
      <c r="D196" s="5"/>
      <c r="E196" s="5"/>
      <c r="F196" s="6"/>
      <c r="G196" s="45" t="s">
        <v>317</v>
      </c>
      <c r="H196" s="5"/>
      <c r="I196" s="5"/>
      <c r="J196" s="6"/>
      <c r="K196" s="45">
        <v>255.0</v>
      </c>
      <c r="L196" s="5"/>
      <c r="M196" s="5"/>
      <c r="N196" s="6"/>
      <c r="O196" s="45" t="s">
        <v>206</v>
      </c>
      <c r="P196" s="5"/>
      <c r="Q196" s="6"/>
      <c r="R196" s="47"/>
      <c r="S196" s="6"/>
      <c r="T196" s="47"/>
      <c r="U196" s="6"/>
      <c r="V196" s="46" t="s">
        <v>200</v>
      </c>
      <c r="W196" s="6"/>
      <c r="X196" s="47"/>
      <c r="Y196" s="6"/>
    </row>
    <row r="197" ht="39.75" customHeight="1">
      <c r="A197" s="41">
        <v>6.0</v>
      </c>
      <c r="B197" s="42" t="s">
        <v>243</v>
      </c>
      <c r="C197" s="43" t="s">
        <v>318</v>
      </c>
      <c r="D197" s="5"/>
      <c r="E197" s="5"/>
      <c r="F197" s="6"/>
      <c r="G197" s="45" t="s">
        <v>245</v>
      </c>
      <c r="H197" s="5"/>
      <c r="I197" s="5"/>
      <c r="J197" s="6"/>
      <c r="K197" s="45">
        <v>10.0</v>
      </c>
      <c r="L197" s="5"/>
      <c r="M197" s="5"/>
      <c r="N197" s="6"/>
      <c r="O197" s="45" t="s">
        <v>199</v>
      </c>
      <c r="P197" s="5"/>
      <c r="Q197" s="6"/>
      <c r="R197" s="47"/>
      <c r="S197" s="6"/>
      <c r="T197" s="47"/>
      <c r="U197" s="6"/>
      <c r="V197" s="47"/>
      <c r="W197" s="6"/>
      <c r="X197" s="47"/>
      <c r="Y197" s="6"/>
    </row>
    <row r="198" ht="39.75" customHeight="1">
      <c r="A198" s="150" t="s">
        <v>222</v>
      </c>
      <c r="B198" s="151"/>
      <c r="C198" s="152"/>
      <c r="D198" s="153"/>
      <c r="E198" s="153"/>
      <c r="F198" s="154"/>
      <c r="G198" s="152"/>
      <c r="H198" s="153"/>
      <c r="I198" s="153"/>
      <c r="J198" s="154"/>
      <c r="K198" s="152"/>
      <c r="L198" s="153"/>
      <c r="M198" s="153"/>
      <c r="N198" s="154"/>
      <c r="O198" s="152"/>
      <c r="P198" s="153"/>
      <c r="Q198" s="154"/>
      <c r="R198" s="152"/>
      <c r="S198" s="154"/>
      <c r="T198" s="152"/>
      <c r="U198" s="154"/>
      <c r="V198" s="152"/>
      <c r="W198" s="154"/>
      <c r="X198" s="152"/>
      <c r="Y198" s="155"/>
    </row>
    <row r="199" ht="39.75" customHeight="1"/>
    <row r="200" ht="39.75" customHeight="1"/>
    <row r="201" ht="39.75" customHeight="1"/>
    <row r="202" ht="39.75" customHeight="1"/>
    <row r="203" ht="39.75" customHeight="1"/>
    <row r="204" ht="39.75" customHeight="1">
      <c r="A204" s="126">
        <v>16.0</v>
      </c>
      <c r="B204" s="138" t="s">
        <v>134</v>
      </c>
      <c r="C204" s="104" t="str">
        <f>'Invetario de Tablas'!B19</f>
        <v>reaccion</v>
      </c>
      <c r="D204" s="105"/>
      <c r="E204" s="105"/>
      <c r="F204" s="106"/>
      <c r="G204" s="139" t="s">
        <v>135</v>
      </c>
      <c r="H204" s="32"/>
      <c r="I204" s="32"/>
      <c r="J204" s="33"/>
      <c r="K204" s="107" t="str">
        <f>'Invetario de Tablas'!C19</f>
        <v>muestra de que el comentario o la publicación fue recibida de buena o mala manera por los usuarios</v>
      </c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6"/>
      <c r="X204" s="144" t="s">
        <v>186</v>
      </c>
      <c r="Y204" s="117" t="str">
        <f>Y3</f>
        <v>1.0</v>
      </c>
    </row>
    <row r="205" ht="39.75" customHeight="1">
      <c r="A205" s="145" t="s">
        <v>1</v>
      </c>
      <c r="B205" s="142" t="s">
        <v>187</v>
      </c>
      <c r="C205" s="146" t="s">
        <v>188</v>
      </c>
      <c r="D205" s="147"/>
      <c r="E205" s="147"/>
      <c r="F205" s="148"/>
      <c r="G205" s="143" t="s">
        <v>379</v>
      </c>
      <c r="H205" s="5"/>
      <c r="I205" s="5"/>
      <c r="J205" s="6"/>
      <c r="K205" s="146" t="s">
        <v>190</v>
      </c>
      <c r="L205" s="147"/>
      <c r="M205" s="147"/>
      <c r="N205" s="148"/>
      <c r="O205" s="146" t="s">
        <v>191</v>
      </c>
      <c r="P205" s="147"/>
      <c r="Q205" s="148"/>
      <c r="R205" s="146" t="s">
        <v>192</v>
      </c>
      <c r="S205" s="148"/>
      <c r="T205" s="146" t="s">
        <v>193</v>
      </c>
      <c r="U205" s="148"/>
      <c r="V205" s="146" t="s">
        <v>194</v>
      </c>
      <c r="W205" s="148"/>
      <c r="X205" s="143" t="s">
        <v>195</v>
      </c>
      <c r="Y205" s="40"/>
    </row>
    <row r="206" ht="39.75" customHeight="1">
      <c r="A206" s="41">
        <v>1.0</v>
      </c>
      <c r="B206" s="42" t="s">
        <v>319</v>
      </c>
      <c r="C206" s="43" t="s">
        <v>320</v>
      </c>
      <c r="D206" s="5"/>
      <c r="E206" s="5"/>
      <c r="F206" s="6"/>
      <c r="G206" s="116" t="s">
        <v>371</v>
      </c>
      <c r="H206" s="5"/>
      <c r="I206" s="5"/>
      <c r="J206" s="6"/>
      <c r="K206" s="45">
        <v>10.0</v>
      </c>
      <c r="L206" s="5"/>
      <c r="M206" s="5"/>
      <c r="N206" s="6"/>
      <c r="O206" s="45" t="s">
        <v>199</v>
      </c>
      <c r="P206" s="5"/>
      <c r="Q206" s="6"/>
      <c r="R206" s="47"/>
      <c r="S206" s="6"/>
      <c r="T206" s="46" t="s">
        <v>200</v>
      </c>
      <c r="U206" s="6"/>
      <c r="V206" s="47"/>
      <c r="W206" s="6"/>
      <c r="X206" s="47"/>
      <c r="Y206" s="6"/>
    </row>
    <row r="207" ht="39.75" customHeight="1">
      <c r="A207" s="41">
        <v>2.0</v>
      </c>
      <c r="B207" s="42" t="s">
        <v>196</v>
      </c>
      <c r="C207" s="43" t="s">
        <v>270</v>
      </c>
      <c r="D207" s="5"/>
      <c r="E207" s="5"/>
      <c r="F207" s="6"/>
      <c r="G207" s="116" t="s">
        <v>371</v>
      </c>
      <c r="H207" s="5"/>
      <c r="I207" s="5"/>
      <c r="J207" s="6"/>
      <c r="K207" s="45">
        <v>10.0</v>
      </c>
      <c r="L207" s="5"/>
      <c r="M207" s="5"/>
      <c r="N207" s="6"/>
      <c r="O207" s="45" t="s">
        <v>199</v>
      </c>
      <c r="P207" s="5"/>
      <c r="Q207" s="6"/>
      <c r="R207" s="47"/>
      <c r="S207" s="6"/>
      <c r="T207" s="46" t="s">
        <v>200</v>
      </c>
      <c r="U207" s="6"/>
      <c r="V207" s="47"/>
      <c r="W207" s="6"/>
      <c r="X207" s="47"/>
      <c r="Y207" s="6"/>
    </row>
    <row r="208" ht="39.75" customHeight="1">
      <c r="A208" s="118">
        <v>3.0</v>
      </c>
      <c r="B208" s="119" t="s">
        <v>321</v>
      </c>
      <c r="C208" s="120" t="s">
        <v>322</v>
      </c>
      <c r="D208" s="88"/>
      <c r="E208" s="88"/>
      <c r="F208" s="89"/>
      <c r="G208" s="134" t="s">
        <v>381</v>
      </c>
      <c r="H208" s="88"/>
      <c r="I208" s="88"/>
      <c r="J208" s="89"/>
      <c r="K208" s="121">
        <v>10.0</v>
      </c>
      <c r="L208" s="88"/>
      <c r="M208" s="88"/>
      <c r="N208" s="89"/>
      <c r="O208" s="121" t="s">
        <v>199</v>
      </c>
      <c r="P208" s="88"/>
      <c r="Q208" s="89"/>
      <c r="R208" s="133" t="s">
        <v>200</v>
      </c>
      <c r="S208" s="89"/>
      <c r="T208" s="122"/>
      <c r="U208" s="89"/>
      <c r="V208" s="122"/>
      <c r="W208" s="89"/>
      <c r="X208" s="122"/>
      <c r="Y208" s="89"/>
    </row>
    <row r="209" ht="39.75" customHeight="1">
      <c r="A209" s="123">
        <v>4.0</v>
      </c>
      <c r="B209" s="124"/>
      <c r="C209" s="124"/>
      <c r="D209" s="88"/>
      <c r="E209" s="88"/>
      <c r="F209" s="88"/>
      <c r="G209" s="124"/>
      <c r="H209" s="88"/>
      <c r="I209" s="88"/>
      <c r="J209" s="88"/>
      <c r="K209" s="124"/>
      <c r="L209" s="88"/>
      <c r="M209" s="88"/>
      <c r="N209" s="88"/>
      <c r="O209" s="124"/>
      <c r="P209" s="88"/>
      <c r="Q209" s="88"/>
      <c r="R209" s="124"/>
      <c r="S209" s="88"/>
      <c r="T209" s="124"/>
      <c r="U209" s="88"/>
      <c r="V209" s="124"/>
      <c r="W209" s="88"/>
      <c r="X209" s="124"/>
      <c r="Y209" s="88"/>
    </row>
    <row r="210" ht="39.75" customHeight="1">
      <c r="A210" s="61">
        <v>5.0</v>
      </c>
      <c r="B210" s="62"/>
      <c r="C210" s="62"/>
      <c r="G210" s="62"/>
      <c r="K210" s="62"/>
      <c r="O210" s="62"/>
      <c r="R210" s="62"/>
      <c r="T210" s="62"/>
      <c r="V210" s="62"/>
      <c r="X210" s="62"/>
    </row>
    <row r="211" ht="39.75" customHeight="1">
      <c r="A211" s="129"/>
      <c r="B211" s="62"/>
      <c r="C211" s="62"/>
      <c r="G211" s="62"/>
      <c r="K211" s="62"/>
      <c r="O211" s="62"/>
      <c r="R211" s="62"/>
      <c r="T211" s="62"/>
      <c r="V211" s="62"/>
      <c r="X211" s="62"/>
    </row>
    <row r="212" ht="39.75" customHeight="1">
      <c r="A212" s="61" t="s">
        <v>222</v>
      </c>
      <c r="B212" s="62"/>
      <c r="C212" s="62"/>
      <c r="G212" s="62"/>
      <c r="K212" s="62"/>
      <c r="O212" s="62"/>
      <c r="R212" s="62"/>
      <c r="T212" s="62"/>
      <c r="V212" s="62"/>
      <c r="X212" s="62"/>
    </row>
    <row r="213" ht="39.75" customHeight="1"/>
    <row r="214" ht="39.75" customHeight="1"/>
    <row r="215" ht="39.75" customHeight="1"/>
    <row r="216" ht="39.75" customHeight="1"/>
    <row r="217" ht="39.75" customHeight="1"/>
    <row r="218" ht="39.75" customHeight="1">
      <c r="A218" s="126">
        <v>17.0</v>
      </c>
      <c r="B218" s="138" t="s">
        <v>134</v>
      </c>
      <c r="C218" s="104" t="str">
        <f>'Invetario de Tablas'!B20</f>
        <v>notificacion</v>
      </c>
      <c r="D218" s="105"/>
      <c r="E218" s="105"/>
      <c r="F218" s="106"/>
      <c r="G218" s="139" t="s">
        <v>135</v>
      </c>
      <c r="H218" s="32"/>
      <c r="I218" s="32"/>
      <c r="J218" s="33"/>
      <c r="K218" s="107" t="str">
        <f>'Invetario de Tablas'!C20</f>
        <v>aviso sobre algun mensaje de la red social pascualina </v>
      </c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6"/>
      <c r="X218" s="144" t="s">
        <v>186</v>
      </c>
      <c r="Y218" s="117" t="str">
        <f>Y3</f>
        <v>1.0</v>
      </c>
    </row>
    <row r="219" ht="39.75" customHeight="1">
      <c r="A219" s="145" t="s">
        <v>1</v>
      </c>
      <c r="B219" s="142" t="s">
        <v>187</v>
      </c>
      <c r="C219" s="146" t="s">
        <v>188</v>
      </c>
      <c r="D219" s="147"/>
      <c r="E219" s="147"/>
      <c r="F219" s="148"/>
      <c r="G219" s="143" t="s">
        <v>379</v>
      </c>
      <c r="H219" s="5"/>
      <c r="I219" s="5"/>
      <c r="J219" s="6"/>
      <c r="K219" s="146" t="s">
        <v>190</v>
      </c>
      <c r="L219" s="147"/>
      <c r="M219" s="147"/>
      <c r="N219" s="148"/>
      <c r="O219" s="146" t="s">
        <v>191</v>
      </c>
      <c r="P219" s="147"/>
      <c r="Q219" s="148"/>
      <c r="R219" s="146" t="s">
        <v>192</v>
      </c>
      <c r="S219" s="148"/>
      <c r="T219" s="146" t="s">
        <v>193</v>
      </c>
      <c r="U219" s="148"/>
      <c r="V219" s="146" t="s">
        <v>194</v>
      </c>
      <c r="W219" s="148"/>
      <c r="X219" s="143" t="s">
        <v>195</v>
      </c>
      <c r="Y219" s="40"/>
    </row>
    <row r="220" ht="39.75" customHeight="1">
      <c r="A220" s="127">
        <v>1.0</v>
      </c>
      <c r="B220" s="42" t="s">
        <v>323</v>
      </c>
      <c r="C220" s="43" t="s">
        <v>286</v>
      </c>
      <c r="D220" s="5"/>
      <c r="E220" s="5"/>
      <c r="F220" s="6"/>
      <c r="G220" s="94" t="s">
        <v>381</v>
      </c>
      <c r="H220" s="5"/>
      <c r="I220" s="5"/>
      <c r="J220" s="6"/>
      <c r="K220" s="45">
        <v>10.0</v>
      </c>
      <c r="L220" s="5"/>
      <c r="M220" s="5"/>
      <c r="N220" s="6"/>
      <c r="O220" s="45" t="s">
        <v>199</v>
      </c>
      <c r="P220" s="5"/>
      <c r="Q220" s="6"/>
      <c r="R220" s="46" t="s">
        <v>200</v>
      </c>
      <c r="S220" s="6"/>
      <c r="T220" s="47"/>
      <c r="U220" s="6"/>
      <c r="V220" s="47"/>
      <c r="W220" s="6"/>
      <c r="X220" s="47"/>
      <c r="Y220" s="6"/>
    </row>
    <row r="221" ht="39.75" customHeight="1">
      <c r="A221" s="127">
        <v>2.0</v>
      </c>
      <c r="B221" s="95" t="s">
        <v>324</v>
      </c>
      <c r="C221" s="43" t="s">
        <v>270</v>
      </c>
      <c r="D221" s="5"/>
      <c r="E221" s="5"/>
      <c r="F221" s="6"/>
      <c r="G221" s="116" t="s">
        <v>371</v>
      </c>
      <c r="H221" s="5"/>
      <c r="I221" s="5"/>
      <c r="J221" s="6"/>
      <c r="K221" s="45">
        <v>15.0</v>
      </c>
      <c r="L221" s="5"/>
      <c r="M221" s="5"/>
      <c r="N221" s="6"/>
      <c r="O221" s="45" t="s">
        <v>199</v>
      </c>
      <c r="P221" s="5"/>
      <c r="Q221" s="6"/>
      <c r="R221" s="47"/>
      <c r="S221" s="6"/>
      <c r="T221" s="46" t="s">
        <v>200</v>
      </c>
      <c r="U221" s="6"/>
      <c r="V221" s="47"/>
      <c r="W221" s="6"/>
      <c r="X221" s="47"/>
      <c r="Y221" s="6"/>
    </row>
    <row r="222" ht="39.75" customHeight="1">
      <c r="A222" s="127">
        <v>3.0</v>
      </c>
      <c r="B222" s="95" t="s">
        <v>325</v>
      </c>
      <c r="C222" s="43" t="s">
        <v>326</v>
      </c>
      <c r="D222" s="5"/>
      <c r="E222" s="5"/>
      <c r="F222" s="6"/>
      <c r="G222" s="116" t="s">
        <v>371</v>
      </c>
      <c r="H222" s="5"/>
      <c r="I222" s="5"/>
      <c r="J222" s="6"/>
      <c r="K222" s="45">
        <v>15.0</v>
      </c>
      <c r="L222" s="5"/>
      <c r="M222" s="5"/>
      <c r="N222" s="6"/>
      <c r="O222" s="45" t="s">
        <v>199</v>
      </c>
      <c r="P222" s="5"/>
      <c r="Q222" s="6"/>
      <c r="R222" s="47"/>
      <c r="S222" s="6"/>
      <c r="T222" s="46" t="s">
        <v>200</v>
      </c>
      <c r="U222" s="6"/>
      <c r="V222" s="47"/>
      <c r="W222" s="6"/>
      <c r="X222" s="47"/>
      <c r="Y222" s="6"/>
    </row>
    <row r="223" ht="39.75" customHeight="1">
      <c r="A223" s="127">
        <v>4.0</v>
      </c>
      <c r="B223" s="42" t="s">
        <v>327</v>
      </c>
      <c r="C223" s="43" t="s">
        <v>328</v>
      </c>
      <c r="D223" s="5"/>
      <c r="E223" s="5"/>
      <c r="F223" s="6"/>
      <c r="G223" s="45" t="s">
        <v>203</v>
      </c>
      <c r="H223" s="5"/>
      <c r="I223" s="5"/>
      <c r="J223" s="6"/>
      <c r="K223" s="45">
        <v>300.0</v>
      </c>
      <c r="L223" s="5"/>
      <c r="M223" s="5"/>
      <c r="N223" s="6"/>
      <c r="O223" s="45" t="s">
        <v>199</v>
      </c>
      <c r="P223" s="5"/>
      <c r="Q223" s="6"/>
      <c r="R223" s="47"/>
      <c r="S223" s="6"/>
      <c r="T223" s="47"/>
      <c r="U223" s="6"/>
      <c r="V223" s="47"/>
      <c r="W223" s="6"/>
      <c r="X223" s="47"/>
      <c r="Y223" s="6"/>
    </row>
    <row r="224" ht="39.75" customHeight="1">
      <c r="A224" s="128">
        <v>5.0</v>
      </c>
      <c r="B224" s="119" t="s">
        <v>329</v>
      </c>
      <c r="C224" s="120" t="s">
        <v>330</v>
      </c>
      <c r="D224" s="88"/>
      <c r="E224" s="88"/>
      <c r="F224" s="89"/>
      <c r="G224" s="121" t="s">
        <v>245</v>
      </c>
      <c r="H224" s="88"/>
      <c r="I224" s="88"/>
      <c r="J224" s="89"/>
      <c r="K224" s="121">
        <v>10.0</v>
      </c>
      <c r="L224" s="88"/>
      <c r="M224" s="88"/>
      <c r="N224" s="89"/>
      <c r="O224" s="121" t="s">
        <v>199</v>
      </c>
      <c r="P224" s="88"/>
      <c r="Q224" s="89"/>
      <c r="R224" s="122"/>
      <c r="S224" s="89"/>
      <c r="T224" s="122"/>
      <c r="U224" s="89"/>
      <c r="V224" s="122"/>
      <c r="W224" s="89"/>
      <c r="X224" s="122"/>
      <c r="Y224" s="89"/>
    </row>
    <row r="225" ht="39.75" customHeight="1">
      <c r="A225" s="130"/>
      <c r="B225" s="124"/>
      <c r="C225" s="124"/>
      <c r="D225" s="88"/>
      <c r="E225" s="88"/>
      <c r="F225" s="88"/>
      <c r="G225" s="124"/>
      <c r="H225" s="88"/>
      <c r="I225" s="88"/>
      <c r="J225" s="88"/>
      <c r="K225" s="124"/>
      <c r="L225" s="88"/>
      <c r="M225" s="88"/>
      <c r="N225" s="88"/>
      <c r="O225" s="124"/>
      <c r="P225" s="88"/>
      <c r="Q225" s="88"/>
      <c r="R225" s="124"/>
      <c r="S225" s="88"/>
      <c r="T225" s="124"/>
      <c r="U225" s="88"/>
      <c r="V225" s="124"/>
      <c r="W225" s="88"/>
      <c r="X225" s="124"/>
      <c r="Y225" s="88"/>
    </row>
    <row r="226" ht="39.75" customHeight="1">
      <c r="A226" s="61"/>
      <c r="B226" s="62"/>
      <c r="C226" s="62"/>
      <c r="G226" s="62"/>
      <c r="K226" s="62"/>
      <c r="O226" s="62"/>
      <c r="R226" s="62"/>
      <c r="T226" s="62"/>
      <c r="V226" s="62"/>
      <c r="X226" s="62"/>
    </row>
    <row r="227" ht="39.75" customHeight="1"/>
    <row r="228" ht="39.75" customHeight="1"/>
    <row r="229" ht="39.75" customHeight="1"/>
    <row r="230" ht="39.75" customHeight="1"/>
    <row r="231" ht="39.75" customHeight="1"/>
    <row r="232" ht="39.75" customHeight="1">
      <c r="A232" s="126">
        <v>18.0</v>
      </c>
      <c r="B232" s="138" t="s">
        <v>134</v>
      </c>
      <c r="C232" s="104" t="str">
        <f>'Invetario de Tablas'!B21</f>
        <v>mensaje</v>
      </c>
      <c r="D232" s="105"/>
      <c r="E232" s="105"/>
      <c r="F232" s="106"/>
      <c r="G232" s="139" t="s">
        <v>135</v>
      </c>
      <c r="H232" s="32"/>
      <c r="I232" s="32"/>
      <c r="J232" s="33"/>
      <c r="K232" s="107" t="str">
        <f>'Invetario de Tablas'!C21</f>
        <v>interacción privada entre los usuarios a través de la red social</v>
      </c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6"/>
      <c r="X232" s="144" t="s">
        <v>186</v>
      </c>
      <c r="Y232" s="117" t="str">
        <f>Y3</f>
        <v>1.0</v>
      </c>
    </row>
    <row r="233" ht="39.75" customHeight="1">
      <c r="A233" s="145" t="s">
        <v>1</v>
      </c>
      <c r="B233" s="142" t="s">
        <v>187</v>
      </c>
      <c r="C233" s="146" t="s">
        <v>188</v>
      </c>
      <c r="D233" s="147"/>
      <c r="E233" s="147"/>
      <c r="F233" s="148"/>
      <c r="G233" s="143" t="s">
        <v>379</v>
      </c>
      <c r="H233" s="5"/>
      <c r="I233" s="5"/>
      <c r="J233" s="6"/>
      <c r="K233" s="146" t="s">
        <v>190</v>
      </c>
      <c r="L233" s="147"/>
      <c r="M233" s="147"/>
      <c r="N233" s="148"/>
      <c r="O233" s="146" t="s">
        <v>191</v>
      </c>
      <c r="P233" s="147"/>
      <c r="Q233" s="148"/>
      <c r="R233" s="146" t="s">
        <v>192</v>
      </c>
      <c r="S233" s="148"/>
      <c r="T233" s="146" t="s">
        <v>193</v>
      </c>
      <c r="U233" s="148"/>
      <c r="V233" s="146" t="s">
        <v>194</v>
      </c>
      <c r="W233" s="148"/>
      <c r="X233" s="143" t="s">
        <v>195</v>
      </c>
      <c r="Y233" s="40"/>
    </row>
    <row r="234" ht="39.75" customHeight="1">
      <c r="A234" s="127">
        <v>1.0</v>
      </c>
      <c r="B234" s="42" t="s">
        <v>331</v>
      </c>
      <c r="C234" s="43" t="s">
        <v>332</v>
      </c>
      <c r="D234" s="5"/>
      <c r="E234" s="5"/>
      <c r="F234" s="6"/>
      <c r="G234" s="116" t="s">
        <v>371</v>
      </c>
      <c r="H234" s="5"/>
      <c r="I234" s="5"/>
      <c r="J234" s="6"/>
      <c r="K234" s="45">
        <v>15.0</v>
      </c>
      <c r="L234" s="5"/>
      <c r="M234" s="5"/>
      <c r="N234" s="6"/>
      <c r="O234" s="45" t="s">
        <v>199</v>
      </c>
      <c r="P234" s="5"/>
      <c r="Q234" s="6"/>
      <c r="R234" s="47"/>
      <c r="S234" s="6"/>
      <c r="T234" s="46" t="s">
        <v>200</v>
      </c>
      <c r="U234" s="6"/>
      <c r="V234" s="47"/>
      <c r="W234" s="6"/>
      <c r="X234" s="47"/>
      <c r="Y234" s="6"/>
    </row>
    <row r="235" ht="39.75" customHeight="1">
      <c r="A235" s="127">
        <v>2.0</v>
      </c>
      <c r="B235" s="42" t="s">
        <v>333</v>
      </c>
      <c r="C235" s="43" t="s">
        <v>334</v>
      </c>
      <c r="D235" s="5"/>
      <c r="E235" s="5"/>
      <c r="F235" s="6"/>
      <c r="G235" s="116" t="s">
        <v>371</v>
      </c>
      <c r="H235" s="5"/>
      <c r="I235" s="5"/>
      <c r="J235" s="6"/>
      <c r="K235" s="45">
        <v>15.0</v>
      </c>
      <c r="L235" s="5"/>
      <c r="M235" s="5"/>
      <c r="N235" s="6"/>
      <c r="O235" s="45" t="s">
        <v>199</v>
      </c>
      <c r="P235" s="5"/>
      <c r="Q235" s="6"/>
      <c r="R235" s="47"/>
      <c r="S235" s="6"/>
      <c r="T235" s="46" t="s">
        <v>200</v>
      </c>
      <c r="U235" s="6"/>
      <c r="V235" s="47"/>
      <c r="W235" s="6"/>
      <c r="X235" s="47"/>
      <c r="Y235" s="6"/>
    </row>
    <row r="236" ht="39.75" customHeight="1">
      <c r="A236" s="127">
        <v>3.0</v>
      </c>
      <c r="B236" s="42" t="s">
        <v>335</v>
      </c>
      <c r="C236" s="43" t="s">
        <v>336</v>
      </c>
      <c r="D236" s="5"/>
      <c r="E236" s="5"/>
      <c r="F236" s="6"/>
      <c r="G236" s="45" t="s">
        <v>203</v>
      </c>
      <c r="H236" s="5"/>
      <c r="I236" s="5"/>
      <c r="J236" s="6"/>
      <c r="K236" s="45">
        <v>200.0</v>
      </c>
      <c r="L236" s="5"/>
      <c r="M236" s="5"/>
      <c r="N236" s="6"/>
      <c r="O236" s="45" t="s">
        <v>199</v>
      </c>
      <c r="P236" s="5"/>
      <c r="Q236" s="6"/>
      <c r="R236" s="47"/>
      <c r="S236" s="6"/>
      <c r="T236" s="47"/>
      <c r="U236" s="6"/>
      <c r="V236" s="47"/>
      <c r="W236" s="6"/>
      <c r="X236" s="47"/>
      <c r="Y236" s="6"/>
    </row>
    <row r="237" ht="39.75" customHeight="1">
      <c r="A237" s="127">
        <v>4.0</v>
      </c>
      <c r="B237" s="42" t="s">
        <v>337</v>
      </c>
      <c r="C237" s="43" t="s">
        <v>338</v>
      </c>
      <c r="D237" s="5"/>
      <c r="E237" s="5"/>
      <c r="F237" s="6"/>
      <c r="G237" s="94" t="s">
        <v>381</v>
      </c>
      <c r="H237" s="5"/>
      <c r="I237" s="5"/>
      <c r="J237" s="6"/>
      <c r="K237" s="45">
        <v>15.0</v>
      </c>
      <c r="L237" s="5"/>
      <c r="M237" s="5"/>
      <c r="N237" s="6"/>
      <c r="O237" s="45" t="s">
        <v>199</v>
      </c>
      <c r="P237" s="5"/>
      <c r="Q237" s="6"/>
      <c r="R237" s="46" t="s">
        <v>200</v>
      </c>
      <c r="S237" s="6"/>
      <c r="T237" s="47"/>
      <c r="U237" s="6"/>
      <c r="V237" s="47"/>
      <c r="W237" s="6"/>
      <c r="X237" s="47"/>
      <c r="Y237" s="6"/>
    </row>
    <row r="238" ht="39.75" customHeight="1">
      <c r="A238" s="128">
        <v>5.0</v>
      </c>
      <c r="B238" s="119" t="s">
        <v>339</v>
      </c>
      <c r="C238" s="120" t="s">
        <v>336</v>
      </c>
      <c r="D238" s="88"/>
      <c r="E238" s="88"/>
      <c r="F238" s="89"/>
      <c r="G238" s="121" t="s">
        <v>245</v>
      </c>
      <c r="H238" s="88"/>
      <c r="I238" s="88"/>
      <c r="J238" s="89"/>
      <c r="K238" s="121">
        <v>10.0</v>
      </c>
      <c r="L238" s="88"/>
      <c r="M238" s="88"/>
      <c r="N238" s="89"/>
      <c r="O238" s="121" t="s">
        <v>199</v>
      </c>
      <c r="P238" s="88"/>
      <c r="Q238" s="89"/>
      <c r="R238" s="122"/>
      <c r="S238" s="89"/>
      <c r="T238" s="122"/>
      <c r="U238" s="89"/>
      <c r="V238" s="122"/>
      <c r="W238" s="89"/>
      <c r="X238" s="122"/>
      <c r="Y238" s="89"/>
    </row>
    <row r="239" ht="39.75" customHeight="1">
      <c r="A239" s="130"/>
      <c r="B239" s="124"/>
      <c r="C239" s="124"/>
      <c r="D239" s="88"/>
      <c r="E239" s="88"/>
      <c r="F239" s="88"/>
      <c r="G239" s="124"/>
      <c r="H239" s="88"/>
      <c r="I239" s="88"/>
      <c r="J239" s="88"/>
      <c r="K239" s="124"/>
      <c r="L239" s="88"/>
      <c r="M239" s="88"/>
      <c r="N239" s="88"/>
      <c r="O239" s="124"/>
      <c r="P239" s="88"/>
      <c r="Q239" s="88"/>
      <c r="R239" s="124"/>
      <c r="S239" s="88"/>
      <c r="T239" s="124"/>
      <c r="U239" s="88"/>
      <c r="V239" s="124"/>
      <c r="W239" s="88"/>
      <c r="X239" s="124"/>
      <c r="Y239" s="88"/>
    </row>
    <row r="240" ht="39.75" customHeight="1">
      <c r="A240" s="61"/>
      <c r="B240" s="62"/>
      <c r="C240" s="62"/>
      <c r="G240" s="62"/>
      <c r="K240" s="62"/>
      <c r="O240" s="62"/>
      <c r="R240" s="62"/>
      <c r="T240" s="62"/>
      <c r="V240" s="62"/>
      <c r="X240" s="62"/>
    </row>
    <row r="241" ht="34.5" customHeight="1"/>
    <row r="242" ht="34.5" customHeight="1"/>
    <row r="243" ht="34.5" customHeight="1"/>
    <row r="244" ht="34.5" customHeight="1"/>
    <row r="245" ht="34.5" customHeight="1"/>
    <row r="246" ht="49.5" customHeight="1">
      <c r="A246" s="126">
        <v>19.0</v>
      </c>
      <c r="B246" s="138" t="s">
        <v>134</v>
      </c>
      <c r="C246" s="104" t="str">
        <f>'Invetario de Tablas'!B22</f>
        <v>solicitud_servicio</v>
      </c>
      <c r="D246" s="105"/>
      <c r="E246" s="105"/>
      <c r="F246" s="106"/>
      <c r="G246" s="139" t="s">
        <v>135</v>
      </c>
      <c r="H246" s="32"/>
      <c r="I246" s="32"/>
      <c r="J246" s="33"/>
      <c r="K246" s="107" t="str">
        <f>'Invetario de Tablas'!C22</f>
        <v>interaccion de un usuario de un tipo de servicio</v>
      </c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6"/>
      <c r="X246" s="144" t="s">
        <v>186</v>
      </c>
      <c r="Y246" s="117" t="str">
        <f>Y3</f>
        <v>1.0</v>
      </c>
    </row>
    <row r="247" ht="34.5" customHeight="1">
      <c r="A247" s="145" t="s">
        <v>1</v>
      </c>
      <c r="B247" s="142" t="s">
        <v>187</v>
      </c>
      <c r="C247" s="146" t="s">
        <v>188</v>
      </c>
      <c r="D247" s="147"/>
      <c r="E247" s="147"/>
      <c r="F247" s="148"/>
      <c r="G247" s="143" t="s">
        <v>379</v>
      </c>
      <c r="H247" s="5"/>
      <c r="I247" s="5"/>
      <c r="J247" s="6"/>
      <c r="K247" s="146" t="s">
        <v>190</v>
      </c>
      <c r="L247" s="147"/>
      <c r="M247" s="147"/>
      <c r="N247" s="148"/>
      <c r="O247" s="146" t="s">
        <v>191</v>
      </c>
      <c r="P247" s="147"/>
      <c r="Q247" s="148"/>
      <c r="R247" s="146" t="s">
        <v>192</v>
      </c>
      <c r="S247" s="148"/>
      <c r="T247" s="146" t="s">
        <v>193</v>
      </c>
      <c r="U247" s="148"/>
      <c r="V247" s="146" t="s">
        <v>194</v>
      </c>
      <c r="W247" s="148"/>
      <c r="X247" s="143" t="s">
        <v>195</v>
      </c>
      <c r="Y247" s="40"/>
    </row>
    <row r="248" ht="34.5" customHeight="1">
      <c r="A248" s="127">
        <v>1.0</v>
      </c>
      <c r="B248" s="135" t="s">
        <v>340</v>
      </c>
      <c r="C248" s="43" t="s">
        <v>341</v>
      </c>
      <c r="D248" s="5"/>
      <c r="E248" s="5"/>
      <c r="F248" s="6"/>
      <c r="G248" s="94" t="s">
        <v>381</v>
      </c>
      <c r="H248" s="5"/>
      <c r="I248" s="5"/>
      <c r="J248" s="6"/>
      <c r="K248" s="45">
        <v>5.0</v>
      </c>
      <c r="L248" s="5"/>
      <c r="M248" s="5"/>
      <c r="N248" s="6"/>
      <c r="O248" s="45" t="s">
        <v>199</v>
      </c>
      <c r="P248" s="5"/>
      <c r="Q248" s="6"/>
      <c r="R248" s="46" t="s">
        <v>200</v>
      </c>
      <c r="S248" s="6"/>
      <c r="T248" s="47"/>
      <c r="U248" s="6"/>
      <c r="V248" s="47"/>
      <c r="W248" s="6"/>
      <c r="X248" s="47"/>
      <c r="Y248" s="6"/>
    </row>
    <row r="249" ht="34.5" customHeight="1">
      <c r="A249" s="127">
        <v>2.0</v>
      </c>
      <c r="B249" s="135" t="s">
        <v>196</v>
      </c>
      <c r="C249" s="43" t="s">
        <v>197</v>
      </c>
      <c r="D249" s="5"/>
      <c r="E249" s="5"/>
      <c r="F249" s="6"/>
      <c r="G249" s="116" t="s">
        <v>371</v>
      </c>
      <c r="H249" s="5"/>
      <c r="I249" s="5"/>
      <c r="J249" s="6"/>
      <c r="K249" s="45">
        <v>15.0</v>
      </c>
      <c r="L249" s="5"/>
      <c r="M249" s="5"/>
      <c r="N249" s="6"/>
      <c r="O249" s="45" t="s">
        <v>199</v>
      </c>
      <c r="P249" s="5"/>
      <c r="Q249" s="6"/>
      <c r="R249" s="47"/>
      <c r="S249" s="6"/>
      <c r="T249" s="46" t="s">
        <v>200</v>
      </c>
      <c r="U249" s="6"/>
      <c r="V249" s="47"/>
      <c r="W249" s="6"/>
      <c r="X249" s="47"/>
      <c r="Y249" s="6"/>
    </row>
    <row r="250" ht="34.5" customHeight="1">
      <c r="A250" s="127">
        <v>3.0</v>
      </c>
      <c r="B250" s="135" t="s">
        <v>342</v>
      </c>
      <c r="C250" s="43" t="s">
        <v>343</v>
      </c>
      <c r="D250" s="5"/>
      <c r="E250" s="5"/>
      <c r="F250" s="6"/>
      <c r="G250" s="45" t="s">
        <v>245</v>
      </c>
      <c r="H250" s="5"/>
      <c r="I250" s="5"/>
      <c r="J250" s="6"/>
      <c r="K250" s="45">
        <v>10.0</v>
      </c>
      <c r="L250" s="5"/>
      <c r="M250" s="5"/>
      <c r="N250" s="6"/>
      <c r="O250" s="45" t="s">
        <v>199</v>
      </c>
      <c r="P250" s="5"/>
      <c r="Q250" s="6"/>
      <c r="R250" s="47"/>
      <c r="S250" s="6"/>
      <c r="T250" s="47"/>
      <c r="U250" s="6"/>
      <c r="V250" s="47"/>
      <c r="W250" s="6"/>
      <c r="X250" s="47"/>
      <c r="Y250" s="6"/>
    </row>
    <row r="251" ht="34.5" customHeight="1">
      <c r="A251" s="127">
        <v>4.0</v>
      </c>
      <c r="B251" s="135" t="s">
        <v>344</v>
      </c>
      <c r="C251" s="43" t="s">
        <v>345</v>
      </c>
      <c r="D251" s="5"/>
      <c r="E251" s="5"/>
      <c r="F251" s="6"/>
      <c r="G251" s="45" t="s">
        <v>203</v>
      </c>
      <c r="H251" s="5"/>
      <c r="I251" s="5"/>
      <c r="J251" s="6"/>
      <c r="K251" s="45">
        <v>10.0</v>
      </c>
      <c r="L251" s="5"/>
      <c r="M251" s="5"/>
      <c r="N251" s="6"/>
      <c r="O251" s="45" t="s">
        <v>206</v>
      </c>
      <c r="P251" s="5"/>
      <c r="Q251" s="6"/>
      <c r="R251" s="47"/>
      <c r="S251" s="6"/>
      <c r="T251" s="47"/>
      <c r="U251" s="6"/>
      <c r="V251" s="47"/>
      <c r="W251" s="6"/>
      <c r="X251" s="47"/>
      <c r="Y251" s="6"/>
    </row>
    <row r="252" ht="34.5" customHeight="1">
      <c r="A252" s="128">
        <v>5.0</v>
      </c>
      <c r="B252" s="136" t="s">
        <v>346</v>
      </c>
      <c r="C252" s="120" t="s">
        <v>347</v>
      </c>
      <c r="D252" s="88"/>
      <c r="E252" s="88"/>
      <c r="F252" s="89"/>
      <c r="G252" s="149" t="s">
        <v>374</v>
      </c>
      <c r="H252" s="5"/>
      <c r="I252" s="5"/>
      <c r="J252" s="6"/>
      <c r="K252" s="121">
        <v>10.2</v>
      </c>
      <c r="L252" s="88"/>
      <c r="M252" s="88"/>
      <c r="N252" s="89"/>
      <c r="O252" s="121" t="s">
        <v>199</v>
      </c>
      <c r="P252" s="88"/>
      <c r="Q252" s="89"/>
      <c r="R252" s="122"/>
      <c r="S252" s="89"/>
      <c r="T252" s="122"/>
      <c r="U252" s="89"/>
      <c r="V252" s="122"/>
      <c r="W252" s="89"/>
      <c r="X252" s="122"/>
      <c r="Y252" s="89"/>
    </row>
    <row r="253" ht="34.5" customHeight="1">
      <c r="A253" s="130"/>
      <c r="B253" s="124"/>
      <c r="C253" s="124"/>
      <c r="D253" s="88"/>
      <c r="E253" s="88"/>
      <c r="F253" s="88"/>
      <c r="G253" s="124"/>
      <c r="H253" s="88"/>
      <c r="I253" s="88"/>
      <c r="J253" s="88"/>
      <c r="K253" s="124"/>
      <c r="L253" s="88"/>
      <c r="M253" s="88"/>
      <c r="N253" s="88"/>
      <c r="O253" s="124"/>
      <c r="P253" s="88"/>
      <c r="Q253" s="88"/>
      <c r="R253" s="124"/>
      <c r="S253" s="88"/>
      <c r="T253" s="124"/>
      <c r="U253" s="88"/>
      <c r="V253" s="124"/>
      <c r="W253" s="88"/>
      <c r="X253" s="124"/>
      <c r="Y253" s="88"/>
    </row>
    <row r="254" ht="34.5" customHeight="1">
      <c r="A254" s="61"/>
      <c r="B254" s="62"/>
      <c r="C254" s="62"/>
      <c r="G254" s="62"/>
      <c r="K254" s="62"/>
      <c r="O254" s="62"/>
      <c r="R254" s="62"/>
      <c r="T254" s="62"/>
      <c r="V254" s="62"/>
      <c r="X254" s="62"/>
    </row>
    <row r="255" ht="34.5" customHeight="1"/>
    <row r="256" ht="34.5" customHeight="1"/>
    <row r="257" ht="34.5" customHeight="1"/>
    <row r="258" ht="34.5" customHeight="1"/>
    <row r="259" ht="34.5" customHeight="1"/>
    <row r="260" ht="34.5" customHeight="1">
      <c r="A260" s="126">
        <v>20.0</v>
      </c>
      <c r="B260" s="138" t="s">
        <v>134</v>
      </c>
      <c r="C260" s="104" t="str">
        <f>'Invetario de Tablas'!B23</f>
        <v>miembro_grupo</v>
      </c>
      <c r="D260" s="105"/>
      <c r="E260" s="105"/>
      <c r="F260" s="106"/>
      <c r="G260" s="139" t="s">
        <v>135</v>
      </c>
      <c r="H260" s="32"/>
      <c r="I260" s="32"/>
      <c r="J260" s="33"/>
      <c r="K260" s="107" t="str">
        <f>'Invetario de Tablas'!C23</f>
        <v>interaccion de un usuario a un grupo</v>
      </c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6"/>
      <c r="X260" s="144" t="s">
        <v>186</v>
      </c>
      <c r="Y260" s="117" t="str">
        <f>Y3</f>
        <v>1.0</v>
      </c>
    </row>
    <row r="261" ht="34.5" customHeight="1">
      <c r="A261" s="145" t="s">
        <v>1</v>
      </c>
      <c r="B261" s="142" t="s">
        <v>187</v>
      </c>
      <c r="C261" s="146" t="s">
        <v>188</v>
      </c>
      <c r="D261" s="147"/>
      <c r="E261" s="147"/>
      <c r="F261" s="148"/>
      <c r="G261" s="143" t="s">
        <v>379</v>
      </c>
      <c r="H261" s="5"/>
      <c r="I261" s="5"/>
      <c r="J261" s="6"/>
      <c r="K261" s="146" t="s">
        <v>190</v>
      </c>
      <c r="L261" s="147"/>
      <c r="M261" s="147"/>
      <c r="N261" s="148"/>
      <c r="O261" s="146" t="s">
        <v>191</v>
      </c>
      <c r="P261" s="147"/>
      <c r="Q261" s="148"/>
      <c r="R261" s="146" t="s">
        <v>192</v>
      </c>
      <c r="S261" s="148"/>
      <c r="T261" s="146" t="s">
        <v>193</v>
      </c>
      <c r="U261" s="148"/>
      <c r="V261" s="146" t="s">
        <v>194</v>
      </c>
      <c r="W261" s="148"/>
      <c r="X261" s="143" t="s">
        <v>195</v>
      </c>
      <c r="Y261" s="40"/>
    </row>
    <row r="262" ht="34.5" customHeight="1">
      <c r="A262" s="127">
        <v>1.0</v>
      </c>
      <c r="B262" s="135" t="s">
        <v>196</v>
      </c>
      <c r="C262" s="43" t="s">
        <v>348</v>
      </c>
      <c r="D262" s="5"/>
      <c r="E262" s="5"/>
      <c r="F262" s="6"/>
      <c r="G262" s="116" t="s">
        <v>371</v>
      </c>
      <c r="H262" s="5"/>
      <c r="I262" s="5"/>
      <c r="J262" s="6"/>
      <c r="K262" s="45">
        <v>15.0</v>
      </c>
      <c r="L262" s="5"/>
      <c r="M262" s="5"/>
      <c r="N262" s="6"/>
      <c r="O262" s="45" t="s">
        <v>199</v>
      </c>
      <c r="P262" s="5"/>
      <c r="Q262" s="6"/>
      <c r="R262" s="47"/>
      <c r="S262" s="6"/>
      <c r="T262" s="46" t="s">
        <v>200</v>
      </c>
      <c r="U262" s="6"/>
      <c r="V262" s="47"/>
      <c r="W262" s="6"/>
      <c r="X262" s="47"/>
      <c r="Y262" s="6"/>
    </row>
    <row r="263" ht="34.5" customHeight="1">
      <c r="A263" s="127">
        <v>2.0</v>
      </c>
      <c r="B263" s="135" t="s">
        <v>257</v>
      </c>
      <c r="C263" s="43" t="s">
        <v>269</v>
      </c>
      <c r="D263" s="5"/>
      <c r="E263" s="5"/>
      <c r="F263" s="6"/>
      <c r="G263" s="116" t="s">
        <v>371</v>
      </c>
      <c r="H263" s="5"/>
      <c r="I263" s="5"/>
      <c r="J263" s="6"/>
      <c r="K263" s="45">
        <v>5.0</v>
      </c>
      <c r="L263" s="5"/>
      <c r="M263" s="5"/>
      <c r="N263" s="6"/>
      <c r="O263" s="45" t="s">
        <v>199</v>
      </c>
      <c r="P263" s="5"/>
      <c r="Q263" s="6"/>
      <c r="R263" s="47"/>
      <c r="S263" s="6"/>
      <c r="T263" s="46" t="s">
        <v>200</v>
      </c>
      <c r="U263" s="6"/>
      <c r="V263" s="47"/>
      <c r="W263" s="6"/>
      <c r="X263" s="47"/>
      <c r="Y263" s="6"/>
    </row>
    <row r="264" ht="34.5" customHeight="1">
      <c r="A264" s="128">
        <v>3.0</v>
      </c>
      <c r="B264" s="136" t="s">
        <v>349</v>
      </c>
      <c r="C264" s="120" t="s">
        <v>350</v>
      </c>
      <c r="D264" s="88"/>
      <c r="E264" s="88"/>
      <c r="F264" s="89"/>
      <c r="G264" s="121" t="s">
        <v>245</v>
      </c>
      <c r="H264" s="88"/>
      <c r="I264" s="88"/>
      <c r="J264" s="89"/>
      <c r="K264" s="121">
        <v>10.0</v>
      </c>
      <c r="L264" s="88"/>
      <c r="M264" s="88"/>
      <c r="N264" s="89"/>
      <c r="O264" s="121" t="s">
        <v>199</v>
      </c>
      <c r="P264" s="88"/>
      <c r="Q264" s="89"/>
      <c r="R264" s="122"/>
      <c r="S264" s="89"/>
      <c r="T264" s="122"/>
      <c r="U264" s="89"/>
      <c r="V264" s="122"/>
      <c r="W264" s="89"/>
      <c r="X264" s="122"/>
      <c r="Y264" s="89"/>
    </row>
    <row r="265" ht="34.5" customHeight="1">
      <c r="A265" s="123"/>
      <c r="B265" s="124"/>
      <c r="C265" s="124"/>
      <c r="D265" s="88"/>
      <c r="E265" s="88"/>
      <c r="F265" s="88"/>
      <c r="G265" s="124"/>
      <c r="H265" s="88"/>
      <c r="I265" s="88"/>
      <c r="J265" s="88"/>
      <c r="K265" s="124"/>
      <c r="L265" s="88"/>
      <c r="M265" s="88"/>
      <c r="N265" s="88"/>
      <c r="O265" s="124"/>
      <c r="P265" s="88"/>
      <c r="Q265" s="88"/>
      <c r="R265" s="124"/>
      <c r="S265" s="88"/>
      <c r="T265" s="124"/>
      <c r="U265" s="88"/>
      <c r="V265" s="124"/>
      <c r="W265" s="88"/>
      <c r="X265" s="124"/>
      <c r="Y265" s="88"/>
    </row>
    <row r="266" ht="34.5" customHeight="1">
      <c r="A266" s="61"/>
      <c r="B266" s="62"/>
      <c r="C266" s="62"/>
      <c r="G266" s="62"/>
      <c r="K266" s="62"/>
      <c r="O266" s="62"/>
      <c r="R266" s="62"/>
      <c r="T266" s="62"/>
      <c r="V266" s="62"/>
      <c r="X266" s="62"/>
    </row>
    <row r="267" ht="34.5" customHeight="1">
      <c r="A267" s="129"/>
      <c r="B267" s="62"/>
      <c r="C267" s="62"/>
      <c r="G267" s="62"/>
      <c r="K267" s="62"/>
      <c r="O267" s="62"/>
      <c r="R267" s="62"/>
      <c r="T267" s="62"/>
      <c r="V267" s="62"/>
      <c r="X267" s="62"/>
    </row>
    <row r="268" ht="34.5" customHeight="1">
      <c r="A268" s="61"/>
      <c r="B268" s="62"/>
      <c r="C268" s="62"/>
      <c r="G268" s="62"/>
      <c r="K268" s="62"/>
      <c r="O268" s="62"/>
      <c r="R268" s="62"/>
      <c r="T268" s="62"/>
      <c r="V268" s="62"/>
      <c r="X268" s="62"/>
    </row>
    <row r="269" ht="34.5" customHeight="1"/>
    <row r="270" ht="34.5" customHeight="1"/>
    <row r="271" ht="34.5" customHeight="1"/>
    <row r="272" ht="34.5" customHeight="1"/>
    <row r="273" ht="34.5" customHeight="1"/>
    <row r="274" ht="34.5" customHeight="1">
      <c r="A274" s="126">
        <v>21.0</v>
      </c>
      <c r="B274" s="138" t="s">
        <v>134</v>
      </c>
      <c r="C274" s="104" t="str">
        <f>'Invetario de Tablas'!B24</f>
        <v>inscripcion_evento</v>
      </c>
      <c r="D274" s="105"/>
      <c r="E274" s="105"/>
      <c r="F274" s="106"/>
      <c r="G274" s="139" t="s">
        <v>135</v>
      </c>
      <c r="H274" s="32"/>
      <c r="I274" s="32"/>
      <c r="J274" s="33"/>
      <c r="K274" s="107" t="str">
        <f>'Invetario de Tablas'!C24</f>
        <v>interaccion de un usuario a un evento</v>
      </c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6"/>
      <c r="X274" s="144" t="s">
        <v>186</v>
      </c>
      <c r="Y274" s="117" t="str">
        <f>Y3</f>
        <v>1.0</v>
      </c>
    </row>
    <row r="275" ht="34.5" customHeight="1">
      <c r="A275" s="145" t="s">
        <v>1</v>
      </c>
      <c r="B275" s="142" t="s">
        <v>187</v>
      </c>
      <c r="C275" s="146" t="s">
        <v>188</v>
      </c>
      <c r="D275" s="147"/>
      <c r="E275" s="147"/>
      <c r="F275" s="148"/>
      <c r="G275" s="143" t="s">
        <v>379</v>
      </c>
      <c r="H275" s="5"/>
      <c r="I275" s="5"/>
      <c r="J275" s="6"/>
      <c r="K275" s="146" t="s">
        <v>190</v>
      </c>
      <c r="L275" s="147"/>
      <c r="M275" s="147"/>
      <c r="N275" s="148"/>
      <c r="O275" s="146" t="s">
        <v>191</v>
      </c>
      <c r="P275" s="147"/>
      <c r="Q275" s="148"/>
      <c r="R275" s="146" t="s">
        <v>192</v>
      </c>
      <c r="S275" s="148"/>
      <c r="T275" s="146" t="s">
        <v>193</v>
      </c>
      <c r="U275" s="148"/>
      <c r="V275" s="146" t="s">
        <v>194</v>
      </c>
      <c r="W275" s="148"/>
      <c r="X275" s="143" t="s">
        <v>195</v>
      </c>
      <c r="Y275" s="40"/>
    </row>
    <row r="276" ht="34.5" customHeight="1">
      <c r="A276" s="127">
        <v>1.0</v>
      </c>
      <c r="B276" s="135" t="s">
        <v>196</v>
      </c>
      <c r="C276" s="43" t="s">
        <v>351</v>
      </c>
      <c r="D276" s="5"/>
      <c r="E276" s="5"/>
      <c r="F276" s="6"/>
      <c r="G276" s="116" t="s">
        <v>371</v>
      </c>
      <c r="H276" s="5"/>
      <c r="I276" s="5"/>
      <c r="J276" s="6"/>
      <c r="K276" s="45">
        <v>15.0</v>
      </c>
      <c r="L276" s="5"/>
      <c r="M276" s="5"/>
      <c r="N276" s="6"/>
      <c r="O276" s="45" t="s">
        <v>199</v>
      </c>
      <c r="P276" s="5"/>
      <c r="Q276" s="6"/>
      <c r="R276" s="47"/>
      <c r="S276" s="6"/>
      <c r="T276" s="46" t="s">
        <v>200</v>
      </c>
      <c r="U276" s="6"/>
      <c r="V276" s="47"/>
      <c r="W276" s="6"/>
      <c r="X276" s="47"/>
      <c r="Y276" s="6"/>
    </row>
    <row r="277" ht="34.5" customHeight="1">
      <c r="A277" s="127">
        <v>2.0</v>
      </c>
      <c r="B277" s="135" t="s">
        <v>298</v>
      </c>
      <c r="C277" s="43" t="s">
        <v>352</v>
      </c>
      <c r="D277" s="5"/>
      <c r="E277" s="5"/>
      <c r="F277" s="6"/>
      <c r="G277" s="116" t="s">
        <v>371</v>
      </c>
      <c r="H277" s="5"/>
      <c r="I277" s="5"/>
      <c r="J277" s="6"/>
      <c r="K277" s="45">
        <v>5.0</v>
      </c>
      <c r="L277" s="5"/>
      <c r="M277" s="5"/>
      <c r="N277" s="6"/>
      <c r="O277" s="45" t="s">
        <v>199</v>
      </c>
      <c r="P277" s="5"/>
      <c r="Q277" s="6"/>
      <c r="R277" s="47"/>
      <c r="S277" s="6"/>
      <c r="T277" s="46" t="s">
        <v>200</v>
      </c>
      <c r="U277" s="6"/>
      <c r="V277" s="47"/>
      <c r="W277" s="6"/>
      <c r="X277" s="47"/>
      <c r="Y277" s="6"/>
    </row>
    <row r="278" ht="34.5" customHeight="1">
      <c r="A278" s="128">
        <v>3.0</v>
      </c>
      <c r="B278" s="136" t="s">
        <v>353</v>
      </c>
      <c r="C278" s="120" t="s">
        <v>354</v>
      </c>
      <c r="D278" s="88"/>
      <c r="E278" s="88"/>
      <c r="F278" s="89"/>
      <c r="G278" s="121" t="s">
        <v>245</v>
      </c>
      <c r="H278" s="88"/>
      <c r="I278" s="88"/>
      <c r="J278" s="89"/>
      <c r="K278" s="121">
        <v>10.0</v>
      </c>
      <c r="L278" s="88"/>
      <c r="M278" s="88"/>
      <c r="N278" s="89"/>
      <c r="O278" s="121" t="s">
        <v>199</v>
      </c>
      <c r="P278" s="88"/>
      <c r="Q278" s="89"/>
      <c r="R278" s="122"/>
      <c r="S278" s="89"/>
      <c r="T278" s="122"/>
      <c r="U278" s="89"/>
      <c r="V278" s="122"/>
      <c r="W278" s="89"/>
      <c r="X278" s="122"/>
      <c r="Y278" s="89"/>
    </row>
    <row r="279" ht="34.5" customHeight="1">
      <c r="A279" s="123"/>
      <c r="B279" s="124"/>
      <c r="C279" s="124"/>
      <c r="D279" s="88"/>
      <c r="E279" s="88"/>
      <c r="F279" s="88"/>
      <c r="G279" s="124"/>
      <c r="H279" s="88"/>
      <c r="I279" s="88"/>
      <c r="J279" s="88"/>
      <c r="K279" s="124"/>
      <c r="L279" s="88"/>
      <c r="M279" s="88"/>
      <c r="N279" s="88"/>
      <c r="O279" s="124"/>
      <c r="P279" s="88"/>
      <c r="Q279" s="88"/>
      <c r="R279" s="124"/>
      <c r="S279" s="88"/>
      <c r="T279" s="124"/>
      <c r="U279" s="88"/>
      <c r="V279" s="124"/>
      <c r="W279" s="88"/>
      <c r="X279" s="124"/>
      <c r="Y279" s="88"/>
    </row>
    <row r="280" ht="34.5" customHeight="1">
      <c r="A280" s="61"/>
      <c r="B280" s="62"/>
      <c r="C280" s="62"/>
      <c r="G280" s="62"/>
      <c r="K280" s="62"/>
      <c r="O280" s="62"/>
      <c r="R280" s="62"/>
      <c r="T280" s="62"/>
      <c r="V280" s="62"/>
      <c r="X280" s="62"/>
    </row>
    <row r="281" ht="34.5" customHeight="1">
      <c r="A281" s="129"/>
      <c r="B281" s="62"/>
      <c r="C281" s="62"/>
      <c r="G281" s="62"/>
      <c r="K281" s="62"/>
      <c r="O281" s="62"/>
      <c r="R281" s="62"/>
      <c r="T281" s="62"/>
      <c r="V281" s="62"/>
      <c r="X281" s="62"/>
    </row>
    <row r="282" ht="34.5" customHeight="1">
      <c r="A282" s="61"/>
      <c r="B282" s="62"/>
      <c r="C282" s="62"/>
      <c r="G282" s="62"/>
      <c r="K282" s="62"/>
      <c r="O282" s="62"/>
      <c r="R282" s="62"/>
      <c r="T282" s="62"/>
      <c r="V282" s="62"/>
      <c r="X282" s="62"/>
    </row>
    <row r="283" ht="34.5" customHeight="1"/>
    <row r="284" ht="34.5" customHeight="1"/>
    <row r="285" ht="34.5" customHeight="1"/>
    <row r="286" ht="34.5" customHeight="1"/>
    <row r="287" ht="34.5" customHeight="1"/>
    <row r="288" ht="48.0" customHeight="1">
      <c r="A288" s="126">
        <v>22.0</v>
      </c>
      <c r="B288" s="138" t="s">
        <v>134</v>
      </c>
      <c r="C288" s="104" t="str">
        <f>'Invetario de Tablas'!B25</f>
        <v>reaccion_comentario</v>
      </c>
      <c r="D288" s="105"/>
      <c r="E288" s="105"/>
      <c r="F288" s="106"/>
      <c r="G288" s="139" t="s">
        <v>135</v>
      </c>
      <c r="H288" s="32"/>
      <c r="I288" s="32"/>
      <c r="J288" s="33"/>
      <c r="K288" s="107" t="str">
        <f>'Invetario de Tablas'!C25</f>
        <v>Cantidad de reacciones que recibe un comentario</v>
      </c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6"/>
      <c r="X288" s="144" t="s">
        <v>186</v>
      </c>
      <c r="Y288" s="117" t="str">
        <f>Y3</f>
        <v>1.0</v>
      </c>
    </row>
    <row r="289" ht="34.5" customHeight="1">
      <c r="A289" s="145" t="s">
        <v>1</v>
      </c>
      <c r="B289" s="142" t="s">
        <v>187</v>
      </c>
      <c r="C289" s="146" t="s">
        <v>188</v>
      </c>
      <c r="D289" s="147"/>
      <c r="E289" s="147"/>
      <c r="F289" s="148"/>
      <c r="G289" s="143" t="s">
        <v>379</v>
      </c>
      <c r="H289" s="5"/>
      <c r="I289" s="5"/>
      <c r="J289" s="6"/>
      <c r="K289" s="146" t="s">
        <v>190</v>
      </c>
      <c r="L289" s="147"/>
      <c r="M289" s="147"/>
      <c r="N289" s="148"/>
      <c r="O289" s="146" t="s">
        <v>191</v>
      </c>
      <c r="P289" s="147"/>
      <c r="Q289" s="148"/>
      <c r="R289" s="146" t="s">
        <v>192</v>
      </c>
      <c r="S289" s="148"/>
      <c r="T289" s="146" t="s">
        <v>193</v>
      </c>
      <c r="U289" s="148"/>
      <c r="V289" s="146" t="s">
        <v>194</v>
      </c>
      <c r="W289" s="148"/>
      <c r="X289" s="143" t="s">
        <v>195</v>
      </c>
      <c r="Y289" s="40"/>
    </row>
    <row r="290" ht="34.5" customHeight="1">
      <c r="A290" s="127">
        <v>1.0</v>
      </c>
      <c r="B290" s="135" t="s">
        <v>196</v>
      </c>
      <c r="C290" s="43" t="s">
        <v>355</v>
      </c>
      <c r="D290" s="5"/>
      <c r="E290" s="5"/>
      <c r="F290" s="6"/>
      <c r="G290" s="116" t="s">
        <v>371</v>
      </c>
      <c r="H290" s="5"/>
      <c r="I290" s="5"/>
      <c r="J290" s="6"/>
      <c r="K290" s="45">
        <v>15.0</v>
      </c>
      <c r="L290" s="5"/>
      <c r="M290" s="5"/>
      <c r="N290" s="6"/>
      <c r="O290" s="45" t="s">
        <v>199</v>
      </c>
      <c r="P290" s="5"/>
      <c r="Q290" s="6"/>
      <c r="R290" s="47"/>
      <c r="S290" s="6"/>
      <c r="T290" s="46" t="s">
        <v>200</v>
      </c>
      <c r="U290" s="6"/>
      <c r="V290" s="47"/>
      <c r="W290" s="6"/>
      <c r="X290" s="47"/>
      <c r="Y290" s="6"/>
    </row>
    <row r="291" ht="34.5" customHeight="1">
      <c r="A291" s="127">
        <v>2.0</v>
      </c>
      <c r="B291" s="135" t="s">
        <v>356</v>
      </c>
      <c r="C291" s="43" t="s">
        <v>357</v>
      </c>
      <c r="D291" s="5"/>
      <c r="E291" s="5"/>
      <c r="F291" s="6"/>
      <c r="G291" s="94" t="s">
        <v>381</v>
      </c>
      <c r="H291" s="5"/>
      <c r="I291" s="5"/>
      <c r="J291" s="6"/>
      <c r="K291" s="45">
        <v>20.0</v>
      </c>
      <c r="L291" s="5"/>
      <c r="M291" s="5"/>
      <c r="N291" s="6"/>
      <c r="O291" s="45" t="s">
        <v>199</v>
      </c>
      <c r="P291" s="5"/>
      <c r="Q291" s="6"/>
      <c r="R291" s="46" t="s">
        <v>200</v>
      </c>
      <c r="S291" s="6"/>
      <c r="T291" s="47"/>
      <c r="U291" s="6"/>
      <c r="V291" s="47"/>
      <c r="W291" s="6"/>
      <c r="X291" s="47"/>
      <c r="Y291" s="6"/>
    </row>
    <row r="292" ht="34.5" customHeight="1">
      <c r="A292" s="127">
        <v>3.0</v>
      </c>
      <c r="B292" s="135" t="s">
        <v>246</v>
      </c>
      <c r="C292" s="43" t="s">
        <v>358</v>
      </c>
      <c r="D292" s="5"/>
      <c r="E292" s="5"/>
      <c r="F292" s="6"/>
      <c r="G292" s="116" t="s">
        <v>371</v>
      </c>
      <c r="H292" s="5"/>
      <c r="I292" s="5"/>
      <c r="J292" s="6"/>
      <c r="K292" s="45">
        <v>20.0</v>
      </c>
      <c r="L292" s="5"/>
      <c r="M292" s="5"/>
      <c r="N292" s="6"/>
      <c r="O292" s="45" t="s">
        <v>199</v>
      </c>
      <c r="P292" s="5"/>
      <c r="Q292" s="6"/>
      <c r="R292" s="47"/>
      <c r="S292" s="6"/>
      <c r="T292" s="46" t="s">
        <v>200</v>
      </c>
      <c r="U292" s="6"/>
      <c r="V292" s="47"/>
      <c r="W292" s="6"/>
      <c r="X292" s="47"/>
      <c r="Y292" s="6"/>
    </row>
    <row r="293" ht="34.5" customHeight="1">
      <c r="A293" s="127">
        <v>4.0</v>
      </c>
      <c r="B293" s="135" t="s">
        <v>359</v>
      </c>
      <c r="C293" s="43" t="s">
        <v>360</v>
      </c>
      <c r="D293" s="5"/>
      <c r="E293" s="5"/>
      <c r="F293" s="6"/>
      <c r="G293" s="45" t="s">
        <v>203</v>
      </c>
      <c r="H293" s="5"/>
      <c r="I293" s="5"/>
      <c r="J293" s="6"/>
      <c r="K293" s="45">
        <v>200.0</v>
      </c>
      <c r="L293" s="5"/>
      <c r="M293" s="5"/>
      <c r="N293" s="6"/>
      <c r="O293" s="45" t="s">
        <v>199</v>
      </c>
      <c r="P293" s="5"/>
      <c r="Q293" s="6"/>
      <c r="R293" s="47"/>
      <c r="S293" s="6"/>
      <c r="T293" s="47"/>
      <c r="U293" s="6"/>
      <c r="V293" s="47"/>
      <c r="W293" s="6"/>
      <c r="X293" s="47"/>
      <c r="Y293" s="6"/>
    </row>
    <row r="294" ht="34.5" customHeight="1">
      <c r="A294" s="128">
        <v>5.0</v>
      </c>
      <c r="B294" s="136" t="s">
        <v>361</v>
      </c>
      <c r="C294" s="120" t="s">
        <v>362</v>
      </c>
      <c r="D294" s="88"/>
      <c r="E294" s="88"/>
      <c r="F294" s="89"/>
      <c r="G294" s="121" t="s">
        <v>245</v>
      </c>
      <c r="H294" s="88"/>
      <c r="I294" s="88"/>
      <c r="J294" s="89"/>
      <c r="K294" s="121">
        <v>10.0</v>
      </c>
      <c r="L294" s="88"/>
      <c r="M294" s="88"/>
      <c r="N294" s="89"/>
      <c r="O294" s="121" t="s">
        <v>199</v>
      </c>
      <c r="P294" s="88"/>
      <c r="Q294" s="89"/>
      <c r="R294" s="122"/>
      <c r="S294" s="89"/>
      <c r="T294" s="122"/>
      <c r="U294" s="89"/>
      <c r="V294" s="122"/>
      <c r="W294" s="89"/>
      <c r="X294" s="122"/>
      <c r="Y294" s="89"/>
    </row>
    <row r="295" ht="34.5" customHeight="1">
      <c r="A295" s="130"/>
      <c r="B295" s="124"/>
      <c r="C295" s="124"/>
      <c r="D295" s="88"/>
      <c r="E295" s="88"/>
      <c r="F295" s="88"/>
      <c r="G295" s="124"/>
      <c r="H295" s="88"/>
      <c r="I295" s="88"/>
      <c r="J295" s="88"/>
      <c r="K295" s="124"/>
      <c r="L295" s="88"/>
      <c r="M295" s="88"/>
      <c r="N295" s="88"/>
      <c r="O295" s="124"/>
      <c r="P295" s="88"/>
      <c r="Q295" s="88"/>
      <c r="R295" s="124"/>
      <c r="S295" s="88"/>
      <c r="T295" s="124"/>
      <c r="U295" s="88"/>
      <c r="V295" s="124"/>
      <c r="W295" s="88"/>
      <c r="X295" s="124"/>
      <c r="Y295" s="88"/>
    </row>
    <row r="296" ht="34.5" customHeight="1">
      <c r="A296" s="61"/>
      <c r="B296" s="62"/>
      <c r="C296" s="62"/>
      <c r="G296" s="62"/>
      <c r="K296" s="62"/>
      <c r="O296" s="62"/>
      <c r="R296" s="62"/>
      <c r="T296" s="62"/>
      <c r="V296" s="62"/>
      <c r="X296" s="62"/>
    </row>
    <row r="297" ht="34.5" customHeight="1"/>
    <row r="298" ht="34.5" customHeight="1"/>
    <row r="299" ht="34.5" customHeight="1"/>
    <row r="300" ht="34.5" customHeight="1"/>
    <row r="301" ht="34.5" customHeight="1"/>
    <row r="302" ht="48.75" customHeight="1">
      <c r="A302" s="126">
        <v>23.0</v>
      </c>
      <c r="B302" s="138" t="s">
        <v>134</v>
      </c>
      <c r="C302" s="104" t="str">
        <f>'Invetario de Tablas'!B26</f>
        <v>tipo_usuario_usuario</v>
      </c>
      <c r="D302" s="105"/>
      <c r="E302" s="105"/>
      <c r="F302" s="106"/>
      <c r="G302" s="139" t="s">
        <v>135</v>
      </c>
      <c r="H302" s="32"/>
      <c r="I302" s="32"/>
      <c r="J302" s="33"/>
      <c r="K302" s="107" t="str">
        <f>'Invetario de Tablas'!C26</f>
        <v>nace de la relacion usuario a un tipo de usuario</v>
      </c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6"/>
      <c r="X302" s="144" t="s">
        <v>186</v>
      </c>
      <c r="Y302" s="117" t="str">
        <f>Y3</f>
        <v>1.0</v>
      </c>
    </row>
    <row r="303" ht="34.5" customHeight="1">
      <c r="A303" s="145" t="s">
        <v>1</v>
      </c>
      <c r="B303" s="142" t="s">
        <v>187</v>
      </c>
      <c r="C303" s="146" t="s">
        <v>188</v>
      </c>
      <c r="D303" s="147"/>
      <c r="E303" s="147"/>
      <c r="F303" s="148"/>
      <c r="G303" s="143" t="s">
        <v>379</v>
      </c>
      <c r="H303" s="5"/>
      <c r="I303" s="5"/>
      <c r="J303" s="6"/>
      <c r="K303" s="146" t="s">
        <v>190</v>
      </c>
      <c r="L303" s="147"/>
      <c r="M303" s="147"/>
      <c r="N303" s="148"/>
      <c r="O303" s="146" t="s">
        <v>191</v>
      </c>
      <c r="P303" s="147"/>
      <c r="Q303" s="148"/>
      <c r="R303" s="146" t="s">
        <v>192</v>
      </c>
      <c r="S303" s="148"/>
      <c r="T303" s="146" t="s">
        <v>193</v>
      </c>
      <c r="U303" s="148"/>
      <c r="V303" s="146" t="s">
        <v>194</v>
      </c>
      <c r="W303" s="148"/>
      <c r="X303" s="143" t="s">
        <v>195</v>
      </c>
      <c r="Y303" s="40"/>
    </row>
    <row r="304" ht="34.5" customHeight="1">
      <c r="A304" s="127">
        <v>1.0</v>
      </c>
      <c r="B304" s="135" t="s">
        <v>226</v>
      </c>
      <c r="C304" s="43" t="s">
        <v>341</v>
      </c>
      <c r="D304" s="5"/>
      <c r="E304" s="5"/>
      <c r="F304" s="6"/>
      <c r="G304" s="116" t="s">
        <v>371</v>
      </c>
      <c r="H304" s="5"/>
      <c r="I304" s="5"/>
      <c r="J304" s="6"/>
      <c r="K304" s="45">
        <v>5.0</v>
      </c>
      <c r="L304" s="5"/>
      <c r="M304" s="5"/>
      <c r="N304" s="6"/>
      <c r="O304" s="45" t="s">
        <v>199</v>
      </c>
      <c r="P304" s="5"/>
      <c r="Q304" s="6"/>
      <c r="R304" s="47"/>
      <c r="S304" s="6"/>
      <c r="T304" s="46" t="s">
        <v>200</v>
      </c>
      <c r="U304" s="6"/>
      <c r="V304" s="47"/>
      <c r="W304" s="6"/>
      <c r="X304" s="47"/>
      <c r="Y304" s="6"/>
    </row>
    <row r="305" ht="34.5" customHeight="1">
      <c r="A305" s="127">
        <v>2.0</v>
      </c>
      <c r="B305" s="135" t="s">
        <v>196</v>
      </c>
      <c r="C305" s="43" t="s">
        <v>197</v>
      </c>
      <c r="D305" s="5"/>
      <c r="E305" s="5"/>
      <c r="F305" s="6"/>
      <c r="G305" s="116" t="s">
        <v>371</v>
      </c>
      <c r="H305" s="5"/>
      <c r="I305" s="5"/>
      <c r="J305" s="6"/>
      <c r="K305" s="45">
        <v>15.0</v>
      </c>
      <c r="L305" s="5"/>
      <c r="M305" s="5"/>
      <c r="N305" s="6"/>
      <c r="O305" s="45" t="s">
        <v>199</v>
      </c>
      <c r="P305" s="5"/>
      <c r="Q305" s="6"/>
      <c r="R305" s="47"/>
      <c r="S305" s="6"/>
      <c r="T305" s="46" t="s">
        <v>200</v>
      </c>
      <c r="U305" s="6"/>
      <c r="V305" s="47"/>
      <c r="W305" s="6"/>
      <c r="X305" s="47"/>
      <c r="Y305" s="6"/>
    </row>
    <row r="306" ht="34.5" customHeight="1">
      <c r="A306" s="128">
        <v>3.0</v>
      </c>
      <c r="B306" s="136" t="s">
        <v>363</v>
      </c>
      <c r="C306" s="120" t="s">
        <v>364</v>
      </c>
      <c r="D306" s="88"/>
      <c r="E306" s="88"/>
      <c r="F306" s="89"/>
      <c r="G306" s="121" t="s">
        <v>245</v>
      </c>
      <c r="H306" s="88"/>
      <c r="I306" s="88"/>
      <c r="J306" s="89"/>
      <c r="K306" s="121">
        <v>10.0</v>
      </c>
      <c r="L306" s="88"/>
      <c r="M306" s="88"/>
      <c r="N306" s="89"/>
      <c r="O306" s="121" t="s">
        <v>199</v>
      </c>
      <c r="P306" s="88"/>
      <c r="Q306" s="89"/>
      <c r="R306" s="122"/>
      <c r="S306" s="89"/>
      <c r="T306" s="122"/>
      <c r="U306" s="89"/>
      <c r="V306" s="122"/>
      <c r="W306" s="89"/>
      <c r="X306" s="122"/>
      <c r="Y306" s="89"/>
    </row>
    <row r="307" ht="34.5" customHeight="1">
      <c r="A307" s="123"/>
      <c r="B307" s="124"/>
      <c r="C307" s="124"/>
      <c r="D307" s="88"/>
      <c r="E307" s="88"/>
      <c r="F307" s="88"/>
      <c r="G307" s="124"/>
      <c r="H307" s="88"/>
      <c r="I307" s="88"/>
      <c r="J307" s="88"/>
      <c r="K307" s="124"/>
      <c r="L307" s="88"/>
      <c r="M307" s="88"/>
      <c r="N307" s="88"/>
      <c r="O307" s="124"/>
      <c r="P307" s="88"/>
      <c r="Q307" s="88"/>
      <c r="R307" s="124"/>
      <c r="S307" s="88"/>
      <c r="T307" s="124"/>
      <c r="U307" s="88"/>
      <c r="V307" s="124"/>
      <c r="W307" s="88"/>
      <c r="X307" s="124"/>
      <c r="Y307" s="88"/>
    </row>
    <row r="308" ht="34.5" customHeight="1">
      <c r="A308" s="61"/>
      <c r="B308" s="62"/>
      <c r="C308" s="62"/>
      <c r="G308" s="62"/>
      <c r="K308" s="62"/>
      <c r="O308" s="62"/>
      <c r="R308" s="62"/>
      <c r="T308" s="62"/>
      <c r="V308" s="62"/>
      <c r="X308" s="62"/>
    </row>
    <row r="309" ht="34.5" customHeight="1">
      <c r="A309" s="129"/>
      <c r="B309" s="62"/>
      <c r="C309" s="62"/>
      <c r="G309" s="62"/>
      <c r="K309" s="62"/>
      <c r="O309" s="62"/>
      <c r="R309" s="62"/>
      <c r="T309" s="62"/>
      <c r="V309" s="62"/>
      <c r="X309" s="62"/>
    </row>
    <row r="310" ht="34.5" customHeight="1">
      <c r="A310" s="61"/>
      <c r="B310" s="62"/>
      <c r="C310" s="62"/>
      <c r="G310" s="62"/>
      <c r="K310" s="62"/>
      <c r="O310" s="62"/>
      <c r="R310" s="62"/>
      <c r="T310" s="62"/>
      <c r="V310" s="62"/>
      <c r="X310" s="62"/>
    </row>
    <row r="311" ht="34.5" customHeight="1"/>
    <row r="312" ht="34.5" customHeight="1"/>
    <row r="313" ht="34.5" customHeight="1"/>
    <row r="314" ht="34.5" customHeight="1"/>
    <row r="315" ht="34.5" customHeight="1"/>
    <row r="316" ht="48.75" customHeight="1">
      <c r="A316" s="126">
        <v>24.0</v>
      </c>
      <c r="B316" s="138" t="s">
        <v>134</v>
      </c>
      <c r="C316" s="104" t="str">
        <f>'Invetario de Tablas'!B27</f>
        <v>publicidad_reaccion</v>
      </c>
      <c r="D316" s="105"/>
      <c r="E316" s="105"/>
      <c r="F316" s="106"/>
      <c r="G316" s="139" t="s">
        <v>135</v>
      </c>
      <c r="H316" s="32"/>
      <c r="I316" s="32"/>
      <c r="J316" s="33"/>
      <c r="K316" s="107" t="str">
        <f>'Invetario de Tablas'!C27</f>
        <v>nace de la relacion publicidad y reaccion</v>
      </c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6"/>
      <c r="X316" s="144" t="s">
        <v>186</v>
      </c>
      <c r="Y316" s="117" t="str">
        <f>Y3</f>
        <v>1.0</v>
      </c>
    </row>
    <row r="317" ht="34.5" customHeight="1">
      <c r="A317" s="145" t="s">
        <v>1</v>
      </c>
      <c r="B317" s="142" t="s">
        <v>187</v>
      </c>
      <c r="C317" s="146" t="s">
        <v>188</v>
      </c>
      <c r="D317" s="147"/>
      <c r="E317" s="147"/>
      <c r="F317" s="148"/>
      <c r="G317" s="143" t="s">
        <v>379</v>
      </c>
      <c r="H317" s="5"/>
      <c r="I317" s="5"/>
      <c r="J317" s="6"/>
      <c r="K317" s="146" t="s">
        <v>190</v>
      </c>
      <c r="L317" s="147"/>
      <c r="M317" s="147"/>
      <c r="N317" s="148"/>
      <c r="O317" s="146" t="s">
        <v>191</v>
      </c>
      <c r="P317" s="147"/>
      <c r="Q317" s="148"/>
      <c r="R317" s="146" t="s">
        <v>192</v>
      </c>
      <c r="S317" s="148"/>
      <c r="T317" s="146" t="s">
        <v>193</v>
      </c>
      <c r="U317" s="148"/>
      <c r="V317" s="146" t="s">
        <v>194</v>
      </c>
      <c r="W317" s="148"/>
      <c r="X317" s="143" t="s">
        <v>195</v>
      </c>
      <c r="Y317" s="40"/>
    </row>
    <row r="318" ht="34.5" customHeight="1">
      <c r="A318" s="127">
        <v>1.0</v>
      </c>
      <c r="B318" s="135" t="s">
        <v>196</v>
      </c>
      <c r="C318" s="43" t="s">
        <v>197</v>
      </c>
      <c r="D318" s="5"/>
      <c r="E318" s="5"/>
      <c r="F318" s="6"/>
      <c r="G318" s="116" t="s">
        <v>371</v>
      </c>
      <c r="H318" s="5"/>
      <c r="I318" s="5"/>
      <c r="J318" s="6"/>
      <c r="K318" s="45">
        <v>15.0</v>
      </c>
      <c r="L318" s="5"/>
      <c r="M318" s="5"/>
      <c r="N318" s="6"/>
      <c r="O318" s="45" t="s">
        <v>199</v>
      </c>
      <c r="P318" s="5"/>
      <c r="Q318" s="6"/>
      <c r="R318" s="47"/>
      <c r="S318" s="6"/>
      <c r="T318" s="46" t="s">
        <v>200</v>
      </c>
      <c r="U318" s="6"/>
      <c r="V318" s="47"/>
      <c r="W318" s="6"/>
      <c r="X318" s="47"/>
      <c r="Y318" s="6"/>
    </row>
    <row r="319" ht="34.5" customHeight="1">
      <c r="A319" s="127">
        <v>2.0</v>
      </c>
      <c r="B319" s="135" t="s">
        <v>365</v>
      </c>
      <c r="C319" s="43" t="s">
        <v>366</v>
      </c>
      <c r="D319" s="5"/>
      <c r="E319" s="5"/>
      <c r="F319" s="6"/>
      <c r="G319" s="94" t="s">
        <v>381</v>
      </c>
      <c r="H319" s="5"/>
      <c r="I319" s="5"/>
      <c r="J319" s="6"/>
      <c r="K319" s="45">
        <v>10.0</v>
      </c>
      <c r="L319" s="5"/>
      <c r="M319" s="5"/>
      <c r="N319" s="6"/>
      <c r="O319" s="45" t="s">
        <v>199</v>
      </c>
      <c r="P319" s="5"/>
      <c r="Q319" s="6"/>
      <c r="R319" s="46" t="s">
        <v>200</v>
      </c>
      <c r="S319" s="6"/>
      <c r="T319" s="47"/>
      <c r="U319" s="6"/>
      <c r="V319" s="47"/>
      <c r="W319" s="6"/>
      <c r="X319" s="47"/>
      <c r="Y319" s="6"/>
    </row>
    <row r="320" ht="34.5" customHeight="1">
      <c r="A320" s="128">
        <v>3.0</v>
      </c>
      <c r="B320" s="136" t="s">
        <v>255</v>
      </c>
      <c r="C320" s="120" t="s">
        <v>256</v>
      </c>
      <c r="D320" s="88"/>
      <c r="E320" s="88"/>
      <c r="F320" s="89"/>
      <c r="G320" s="121" t="s">
        <v>198</v>
      </c>
      <c r="H320" s="88"/>
      <c r="I320" s="88"/>
      <c r="J320" s="89"/>
      <c r="K320" s="121">
        <v>5.0</v>
      </c>
      <c r="L320" s="88"/>
      <c r="M320" s="88"/>
      <c r="N320" s="89"/>
      <c r="O320" s="121" t="s">
        <v>199</v>
      </c>
      <c r="P320" s="88"/>
      <c r="Q320" s="89"/>
      <c r="R320" s="122"/>
      <c r="S320" s="89"/>
      <c r="T320" s="133" t="s">
        <v>200</v>
      </c>
      <c r="U320" s="89"/>
      <c r="V320" s="122"/>
      <c r="W320" s="89"/>
      <c r="X320" s="122"/>
      <c r="Y320" s="89"/>
    </row>
    <row r="321" ht="34.5" customHeight="1">
      <c r="A321" s="123"/>
      <c r="B321" s="124"/>
      <c r="C321" s="124"/>
      <c r="D321" s="88"/>
      <c r="E321" s="88"/>
      <c r="F321" s="88"/>
      <c r="G321" s="124"/>
      <c r="H321" s="88"/>
      <c r="I321" s="88"/>
      <c r="J321" s="88"/>
      <c r="K321" s="124"/>
      <c r="L321" s="88"/>
      <c r="M321" s="88"/>
      <c r="N321" s="88"/>
      <c r="O321" s="124"/>
      <c r="P321" s="88"/>
      <c r="Q321" s="88"/>
      <c r="R321" s="124"/>
      <c r="S321" s="88"/>
      <c r="T321" s="124"/>
      <c r="U321" s="88"/>
      <c r="V321" s="124"/>
      <c r="W321" s="88"/>
      <c r="X321" s="124"/>
      <c r="Y321" s="88"/>
    </row>
    <row r="322" ht="34.5" customHeight="1"/>
    <row r="323" ht="36.0" customHeight="1"/>
    <row r="324" ht="36.0" customHeight="1"/>
    <row r="325" ht="36.0" customHeight="1"/>
    <row r="326" ht="36.0" customHeight="1"/>
    <row r="327" ht="36.0" customHeight="1"/>
    <row r="328" ht="40.5" customHeight="1">
      <c r="A328" s="100" t="s">
        <v>382</v>
      </c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6"/>
    </row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</sheetData>
  <mergeCells count="1570">
    <mergeCell ref="O107:Q107"/>
    <mergeCell ref="R107:S107"/>
    <mergeCell ref="C100:F100"/>
    <mergeCell ref="C106:F106"/>
    <mergeCell ref="G106:J106"/>
    <mergeCell ref="K106:W106"/>
    <mergeCell ref="C107:F107"/>
    <mergeCell ref="G107:J107"/>
    <mergeCell ref="K107:N107"/>
    <mergeCell ref="G108:J108"/>
    <mergeCell ref="K108:N108"/>
    <mergeCell ref="O108:Q108"/>
    <mergeCell ref="R108:S108"/>
    <mergeCell ref="T108:U108"/>
    <mergeCell ref="V108:W108"/>
    <mergeCell ref="X108:Y108"/>
    <mergeCell ref="V109:W109"/>
    <mergeCell ref="X109:Y109"/>
    <mergeCell ref="C108:F108"/>
    <mergeCell ref="C109:F109"/>
    <mergeCell ref="G109:J109"/>
    <mergeCell ref="K109:N109"/>
    <mergeCell ref="O109:Q109"/>
    <mergeCell ref="R109:S109"/>
    <mergeCell ref="T109:U109"/>
    <mergeCell ref="V111:W111"/>
    <mergeCell ref="X111:Y111"/>
    <mergeCell ref="T121:U121"/>
    <mergeCell ref="V121:W121"/>
    <mergeCell ref="X121:Y121"/>
    <mergeCell ref="O121:Q121"/>
    <mergeCell ref="R121:S121"/>
    <mergeCell ref="C114:F114"/>
    <mergeCell ref="C120:F120"/>
    <mergeCell ref="G120:J120"/>
    <mergeCell ref="K120:W120"/>
    <mergeCell ref="C121:F121"/>
    <mergeCell ref="G121:J121"/>
    <mergeCell ref="K121:N121"/>
    <mergeCell ref="G122:J122"/>
    <mergeCell ref="K122:N122"/>
    <mergeCell ref="O122:Q122"/>
    <mergeCell ref="R122:S122"/>
    <mergeCell ref="T122:U122"/>
    <mergeCell ref="V122:W122"/>
    <mergeCell ref="X122:Y122"/>
    <mergeCell ref="V123:W123"/>
    <mergeCell ref="X123:Y123"/>
    <mergeCell ref="C122:F122"/>
    <mergeCell ref="C123:F123"/>
    <mergeCell ref="G123:J123"/>
    <mergeCell ref="K123:N123"/>
    <mergeCell ref="O123:Q123"/>
    <mergeCell ref="R123:S123"/>
    <mergeCell ref="T123:U123"/>
    <mergeCell ref="V125:W125"/>
    <mergeCell ref="X125:Y125"/>
    <mergeCell ref="V127:W127"/>
    <mergeCell ref="X127:Y127"/>
    <mergeCell ref="G71:J71"/>
    <mergeCell ref="K71:N71"/>
    <mergeCell ref="O71:Q71"/>
    <mergeCell ref="R71:S71"/>
    <mergeCell ref="T71:U71"/>
    <mergeCell ref="V71:W71"/>
    <mergeCell ref="X71:Y71"/>
    <mergeCell ref="C73:F73"/>
    <mergeCell ref="G73:J73"/>
    <mergeCell ref="K73:N73"/>
    <mergeCell ref="O73:Q73"/>
    <mergeCell ref="R73:S73"/>
    <mergeCell ref="T73:U73"/>
    <mergeCell ref="V73:W73"/>
    <mergeCell ref="X73:Y73"/>
    <mergeCell ref="C71:F71"/>
    <mergeCell ref="C72:F72"/>
    <mergeCell ref="G72:J72"/>
    <mergeCell ref="K72:N72"/>
    <mergeCell ref="O72:Q72"/>
    <mergeCell ref="R72:S72"/>
    <mergeCell ref="T72:U72"/>
    <mergeCell ref="R79:S79"/>
    <mergeCell ref="T79:U79"/>
    <mergeCell ref="V79:W79"/>
    <mergeCell ref="X79:Y79"/>
    <mergeCell ref="C78:F78"/>
    <mergeCell ref="G78:J78"/>
    <mergeCell ref="K78:W78"/>
    <mergeCell ref="C79:F79"/>
    <mergeCell ref="G79:J79"/>
    <mergeCell ref="K79:N79"/>
    <mergeCell ref="O79:Q79"/>
    <mergeCell ref="T93:U93"/>
    <mergeCell ref="V93:W93"/>
    <mergeCell ref="X93:Y93"/>
    <mergeCell ref="O93:Q93"/>
    <mergeCell ref="R93:S93"/>
    <mergeCell ref="C86:F86"/>
    <mergeCell ref="C92:F92"/>
    <mergeCell ref="G92:J92"/>
    <mergeCell ref="K92:W92"/>
    <mergeCell ref="C93:F93"/>
    <mergeCell ref="G93:J93"/>
    <mergeCell ref="K93:N93"/>
    <mergeCell ref="G94:J94"/>
    <mergeCell ref="K94:N94"/>
    <mergeCell ref="O94:Q94"/>
    <mergeCell ref="R94:S94"/>
    <mergeCell ref="T94:U94"/>
    <mergeCell ref="V94:W94"/>
    <mergeCell ref="X94:Y94"/>
    <mergeCell ref="V95:W95"/>
    <mergeCell ref="X95:Y95"/>
    <mergeCell ref="C94:F94"/>
    <mergeCell ref="C95:F95"/>
    <mergeCell ref="G95:J95"/>
    <mergeCell ref="K95:N95"/>
    <mergeCell ref="O95:Q95"/>
    <mergeCell ref="R95:S95"/>
    <mergeCell ref="T95:U95"/>
    <mergeCell ref="V97:W97"/>
    <mergeCell ref="X97:Y97"/>
    <mergeCell ref="T107:U107"/>
    <mergeCell ref="V107:W107"/>
    <mergeCell ref="X107:Y107"/>
    <mergeCell ref="G110:J110"/>
    <mergeCell ref="K110:N110"/>
    <mergeCell ref="O110:Q110"/>
    <mergeCell ref="R110:S110"/>
    <mergeCell ref="T110:U110"/>
    <mergeCell ref="V110:W110"/>
    <mergeCell ref="X110:Y110"/>
    <mergeCell ref="C110:F110"/>
    <mergeCell ref="C111:F111"/>
    <mergeCell ref="G111:J111"/>
    <mergeCell ref="K111:N111"/>
    <mergeCell ref="O111:Q111"/>
    <mergeCell ref="R111:S111"/>
    <mergeCell ref="T111:U111"/>
    <mergeCell ref="G112:J112"/>
    <mergeCell ref="K112:N112"/>
    <mergeCell ref="O112:Q112"/>
    <mergeCell ref="R112:S112"/>
    <mergeCell ref="T112:U112"/>
    <mergeCell ref="V112:W112"/>
    <mergeCell ref="X112:Y112"/>
    <mergeCell ref="C112:F112"/>
    <mergeCell ref="C113:F113"/>
    <mergeCell ref="G113:J113"/>
    <mergeCell ref="K113:N113"/>
    <mergeCell ref="O113:Q113"/>
    <mergeCell ref="R113:S113"/>
    <mergeCell ref="T113:U113"/>
    <mergeCell ref="T114:U114"/>
    <mergeCell ref="V114:W114"/>
    <mergeCell ref="V113:W113"/>
    <mergeCell ref="X113:Y113"/>
    <mergeCell ref="G114:J114"/>
    <mergeCell ref="K114:N114"/>
    <mergeCell ref="O114:Q114"/>
    <mergeCell ref="R114:S114"/>
    <mergeCell ref="X114:Y114"/>
    <mergeCell ref="G124:J124"/>
    <mergeCell ref="K124:N124"/>
    <mergeCell ref="O124:Q124"/>
    <mergeCell ref="R124:S124"/>
    <mergeCell ref="T124:U124"/>
    <mergeCell ref="V124:W124"/>
    <mergeCell ref="X124:Y124"/>
    <mergeCell ref="C124:F124"/>
    <mergeCell ref="C125:F125"/>
    <mergeCell ref="G125:J125"/>
    <mergeCell ref="K125:N125"/>
    <mergeCell ref="O125:Q125"/>
    <mergeCell ref="R125:S125"/>
    <mergeCell ref="T125:U125"/>
    <mergeCell ref="T138:U138"/>
    <mergeCell ref="V138:W138"/>
    <mergeCell ref="V137:W137"/>
    <mergeCell ref="X137:Y137"/>
    <mergeCell ref="G138:J138"/>
    <mergeCell ref="K138:N138"/>
    <mergeCell ref="O138:Q138"/>
    <mergeCell ref="R138:S138"/>
    <mergeCell ref="X138:Y138"/>
    <mergeCell ref="C7:F7"/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O4:Q4"/>
    <mergeCell ref="R4:S4"/>
    <mergeCell ref="O5:Q5"/>
    <mergeCell ref="R5:S5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C6:F6"/>
    <mergeCell ref="G6:J6"/>
    <mergeCell ref="K6:N6"/>
    <mergeCell ref="G7:J7"/>
    <mergeCell ref="K7:N7"/>
    <mergeCell ref="O7:Q7"/>
    <mergeCell ref="R7:S7"/>
    <mergeCell ref="T7:U7"/>
    <mergeCell ref="V7:W7"/>
    <mergeCell ref="X7:Y7"/>
    <mergeCell ref="V8:W8"/>
    <mergeCell ref="X8:Y8"/>
    <mergeCell ref="V12:W12"/>
    <mergeCell ref="X12:Y12"/>
    <mergeCell ref="R19:S19"/>
    <mergeCell ref="T19:U19"/>
    <mergeCell ref="C18:F18"/>
    <mergeCell ref="G18:J18"/>
    <mergeCell ref="K18:W18"/>
    <mergeCell ref="C19:F19"/>
    <mergeCell ref="G19:J19"/>
    <mergeCell ref="K19:N19"/>
    <mergeCell ref="O19:Q19"/>
    <mergeCell ref="G20:J20"/>
    <mergeCell ref="K20:N20"/>
    <mergeCell ref="O20:Q20"/>
    <mergeCell ref="R20:S20"/>
    <mergeCell ref="T20:U20"/>
    <mergeCell ref="V20:W20"/>
    <mergeCell ref="X20:Y20"/>
    <mergeCell ref="C20:F20"/>
    <mergeCell ref="C21:F21"/>
    <mergeCell ref="G21:J21"/>
    <mergeCell ref="K21:N21"/>
    <mergeCell ref="O21:Q21"/>
    <mergeCell ref="R21:S21"/>
    <mergeCell ref="T21:U21"/>
    <mergeCell ref="T22:U22"/>
    <mergeCell ref="V22:W22"/>
    <mergeCell ref="V21:W21"/>
    <mergeCell ref="X21:Y21"/>
    <mergeCell ref="G22:J22"/>
    <mergeCell ref="K22:N22"/>
    <mergeCell ref="O22:Q22"/>
    <mergeCell ref="R22:S22"/>
    <mergeCell ref="X22:Y22"/>
    <mergeCell ref="R27:S27"/>
    <mergeCell ref="T27:U27"/>
    <mergeCell ref="C26:F26"/>
    <mergeCell ref="G26:J26"/>
    <mergeCell ref="K26:W26"/>
    <mergeCell ref="C27:F27"/>
    <mergeCell ref="G27:J27"/>
    <mergeCell ref="K27:N27"/>
    <mergeCell ref="O27:Q27"/>
    <mergeCell ref="V23:W23"/>
    <mergeCell ref="X23:Y23"/>
    <mergeCell ref="C22:F22"/>
    <mergeCell ref="C23:F23"/>
    <mergeCell ref="G23:J23"/>
    <mergeCell ref="K23:N23"/>
    <mergeCell ref="O23:Q23"/>
    <mergeCell ref="R23:S23"/>
    <mergeCell ref="T23:U23"/>
    <mergeCell ref="T28:U28"/>
    <mergeCell ref="V28:W28"/>
    <mergeCell ref="V27:W27"/>
    <mergeCell ref="X27:Y27"/>
    <mergeCell ref="G28:J28"/>
    <mergeCell ref="K28:N28"/>
    <mergeCell ref="O28:Q28"/>
    <mergeCell ref="R28:S28"/>
    <mergeCell ref="X28:Y28"/>
    <mergeCell ref="V29:W29"/>
    <mergeCell ref="X29:Y29"/>
    <mergeCell ref="C28:F28"/>
    <mergeCell ref="C29:F29"/>
    <mergeCell ref="G29:J29"/>
    <mergeCell ref="K29:N29"/>
    <mergeCell ref="O29:Q29"/>
    <mergeCell ref="R29:S29"/>
    <mergeCell ref="T29:U29"/>
    <mergeCell ref="G30:J30"/>
    <mergeCell ref="K30:N30"/>
    <mergeCell ref="O30:Q30"/>
    <mergeCell ref="R30:S30"/>
    <mergeCell ref="T30:U30"/>
    <mergeCell ref="V30:W30"/>
    <mergeCell ref="X30:Y30"/>
    <mergeCell ref="C30:F30"/>
    <mergeCell ref="C31:F31"/>
    <mergeCell ref="G31:J31"/>
    <mergeCell ref="K31:N31"/>
    <mergeCell ref="O31:Q31"/>
    <mergeCell ref="R31:S31"/>
    <mergeCell ref="T31:U31"/>
    <mergeCell ref="T38:U38"/>
    <mergeCell ref="V38:W38"/>
    <mergeCell ref="X38:Y38"/>
    <mergeCell ref="R37:S37"/>
    <mergeCell ref="T37:U37"/>
    <mergeCell ref="C38:F38"/>
    <mergeCell ref="G38:J38"/>
    <mergeCell ref="K38:N38"/>
    <mergeCell ref="O38:Q38"/>
    <mergeCell ref="R38:S38"/>
    <mergeCell ref="G39:J39"/>
    <mergeCell ref="K39:N39"/>
    <mergeCell ref="O39:Q39"/>
    <mergeCell ref="R39:S39"/>
    <mergeCell ref="T39:U39"/>
    <mergeCell ref="V39:W39"/>
    <mergeCell ref="X39:Y39"/>
    <mergeCell ref="C39:F39"/>
    <mergeCell ref="C40:F40"/>
    <mergeCell ref="G40:J40"/>
    <mergeCell ref="K40:N40"/>
    <mergeCell ref="O40:Q40"/>
    <mergeCell ref="R40:S40"/>
    <mergeCell ref="T40:U40"/>
    <mergeCell ref="T41:U41"/>
    <mergeCell ref="V41:W41"/>
    <mergeCell ref="V40:W40"/>
    <mergeCell ref="X40:Y40"/>
    <mergeCell ref="G41:J41"/>
    <mergeCell ref="K41:N41"/>
    <mergeCell ref="O41:Q41"/>
    <mergeCell ref="R41:S41"/>
    <mergeCell ref="X41:Y41"/>
    <mergeCell ref="K37:N37"/>
    <mergeCell ref="O37:Q37"/>
    <mergeCell ref="V37:W37"/>
    <mergeCell ref="X37:Y37"/>
    <mergeCell ref="V31:W31"/>
    <mergeCell ref="X31:Y31"/>
    <mergeCell ref="C36:F36"/>
    <mergeCell ref="G36:J36"/>
    <mergeCell ref="K36:W36"/>
    <mergeCell ref="C37:F37"/>
    <mergeCell ref="G37:J37"/>
    <mergeCell ref="V42:W42"/>
    <mergeCell ref="X42:Y42"/>
    <mergeCell ref="C41:F41"/>
    <mergeCell ref="C42:F42"/>
    <mergeCell ref="G42:J42"/>
    <mergeCell ref="K42:N42"/>
    <mergeCell ref="O42:Q42"/>
    <mergeCell ref="R42:S42"/>
    <mergeCell ref="T42:U42"/>
    <mergeCell ref="G43:J43"/>
    <mergeCell ref="K43:N43"/>
    <mergeCell ref="O43:Q43"/>
    <mergeCell ref="R43:S43"/>
    <mergeCell ref="T43:U43"/>
    <mergeCell ref="V43:W43"/>
    <mergeCell ref="X43:Y43"/>
    <mergeCell ref="C43:F43"/>
    <mergeCell ref="C44:F44"/>
    <mergeCell ref="G44:J44"/>
    <mergeCell ref="K44:N44"/>
    <mergeCell ref="O44:Q44"/>
    <mergeCell ref="R44:S44"/>
    <mergeCell ref="T44:U44"/>
    <mergeCell ref="T52:U52"/>
    <mergeCell ref="V52:W52"/>
    <mergeCell ref="X52:Y52"/>
    <mergeCell ref="R51:S51"/>
    <mergeCell ref="T51:U51"/>
    <mergeCell ref="C52:F52"/>
    <mergeCell ref="G52:J52"/>
    <mergeCell ref="K52:N52"/>
    <mergeCell ref="O52:Q52"/>
    <mergeCell ref="R52:S52"/>
    <mergeCell ref="G53:J53"/>
    <mergeCell ref="K53:N53"/>
    <mergeCell ref="O53:Q53"/>
    <mergeCell ref="R53:S53"/>
    <mergeCell ref="T53:U53"/>
    <mergeCell ref="V53:W53"/>
    <mergeCell ref="X53:Y53"/>
    <mergeCell ref="C53:F53"/>
    <mergeCell ref="C54:F54"/>
    <mergeCell ref="G54:J54"/>
    <mergeCell ref="K54:N54"/>
    <mergeCell ref="O54:Q54"/>
    <mergeCell ref="R54:S54"/>
    <mergeCell ref="T54:U54"/>
    <mergeCell ref="T55:U55"/>
    <mergeCell ref="V55:W55"/>
    <mergeCell ref="V54:W54"/>
    <mergeCell ref="X54:Y54"/>
    <mergeCell ref="G55:J55"/>
    <mergeCell ref="K55:N55"/>
    <mergeCell ref="O55:Q55"/>
    <mergeCell ref="R55:S55"/>
    <mergeCell ref="X55:Y55"/>
    <mergeCell ref="V56:W56"/>
    <mergeCell ref="X56:Y56"/>
    <mergeCell ref="C55:F55"/>
    <mergeCell ref="C56:F56"/>
    <mergeCell ref="G56:J56"/>
    <mergeCell ref="K56:N56"/>
    <mergeCell ref="O56:Q56"/>
    <mergeCell ref="R56:S56"/>
    <mergeCell ref="T56:U56"/>
    <mergeCell ref="K65:N65"/>
    <mergeCell ref="O65:Q65"/>
    <mergeCell ref="V65:W65"/>
    <mergeCell ref="X65:Y65"/>
    <mergeCell ref="V58:W58"/>
    <mergeCell ref="X58:Y58"/>
    <mergeCell ref="C64:F64"/>
    <mergeCell ref="G64:J64"/>
    <mergeCell ref="K64:W64"/>
    <mergeCell ref="C65:F65"/>
    <mergeCell ref="G65:J65"/>
    <mergeCell ref="G11:J11"/>
    <mergeCell ref="K11:N11"/>
    <mergeCell ref="O11:Q11"/>
    <mergeCell ref="R11:S11"/>
    <mergeCell ref="T11:U11"/>
    <mergeCell ref="V11:W11"/>
    <mergeCell ref="X11:Y11"/>
    <mergeCell ref="C11:F11"/>
    <mergeCell ref="C12:F12"/>
    <mergeCell ref="G12:J12"/>
    <mergeCell ref="K12:N12"/>
    <mergeCell ref="O12:Q12"/>
    <mergeCell ref="R12:S12"/>
    <mergeCell ref="T12:U12"/>
    <mergeCell ref="G13:J13"/>
    <mergeCell ref="K13:N13"/>
    <mergeCell ref="O13:Q13"/>
    <mergeCell ref="R13:S13"/>
    <mergeCell ref="T13:U13"/>
    <mergeCell ref="V13:W13"/>
    <mergeCell ref="X13:Y13"/>
    <mergeCell ref="V14:W14"/>
    <mergeCell ref="X14:Y14"/>
    <mergeCell ref="C13:F13"/>
    <mergeCell ref="C14:F14"/>
    <mergeCell ref="G14:J14"/>
    <mergeCell ref="K14:N14"/>
    <mergeCell ref="O14:Q14"/>
    <mergeCell ref="R14:S14"/>
    <mergeCell ref="T14:U14"/>
    <mergeCell ref="V19:W19"/>
    <mergeCell ref="X19:Y19"/>
    <mergeCell ref="V72:W72"/>
    <mergeCell ref="X72:Y72"/>
    <mergeCell ref="K51:N51"/>
    <mergeCell ref="O51:Q51"/>
    <mergeCell ref="V51:W51"/>
    <mergeCell ref="X51:Y51"/>
    <mergeCell ref="V44:W44"/>
    <mergeCell ref="X44:Y44"/>
    <mergeCell ref="C50:F50"/>
    <mergeCell ref="G50:J50"/>
    <mergeCell ref="K50:W50"/>
    <mergeCell ref="C51:F51"/>
    <mergeCell ref="G51:J51"/>
    <mergeCell ref="G57:J57"/>
    <mergeCell ref="K57:N57"/>
    <mergeCell ref="O57:Q57"/>
    <mergeCell ref="R57:S57"/>
    <mergeCell ref="T57:U57"/>
    <mergeCell ref="V57:W57"/>
    <mergeCell ref="X57:Y57"/>
    <mergeCell ref="C57:F57"/>
    <mergeCell ref="C58:F58"/>
    <mergeCell ref="G58:J58"/>
    <mergeCell ref="K58:N58"/>
    <mergeCell ref="O58:Q58"/>
    <mergeCell ref="R58:S58"/>
    <mergeCell ref="T58:U58"/>
    <mergeCell ref="T66:U66"/>
    <mergeCell ref="V66:W66"/>
    <mergeCell ref="X66:Y66"/>
    <mergeCell ref="R65:S65"/>
    <mergeCell ref="T65:U65"/>
    <mergeCell ref="C66:F66"/>
    <mergeCell ref="G66:J66"/>
    <mergeCell ref="K66:N66"/>
    <mergeCell ref="O66:Q66"/>
    <mergeCell ref="R66:S66"/>
    <mergeCell ref="G67:J67"/>
    <mergeCell ref="K67:N67"/>
    <mergeCell ref="O67:Q67"/>
    <mergeCell ref="R67:S67"/>
    <mergeCell ref="T67:U67"/>
    <mergeCell ref="V67:W67"/>
    <mergeCell ref="X67:Y67"/>
    <mergeCell ref="C67:F67"/>
    <mergeCell ref="C68:F68"/>
    <mergeCell ref="G68:J68"/>
    <mergeCell ref="K68:N68"/>
    <mergeCell ref="O68:Q68"/>
    <mergeCell ref="R68:S68"/>
    <mergeCell ref="T68:U68"/>
    <mergeCell ref="T69:U69"/>
    <mergeCell ref="V69:W69"/>
    <mergeCell ref="V68:W68"/>
    <mergeCell ref="X68:Y68"/>
    <mergeCell ref="G69:J69"/>
    <mergeCell ref="K69:N69"/>
    <mergeCell ref="O69:Q69"/>
    <mergeCell ref="R69:S69"/>
    <mergeCell ref="X69:Y69"/>
    <mergeCell ref="V70:W70"/>
    <mergeCell ref="X70:Y70"/>
    <mergeCell ref="C69:F69"/>
    <mergeCell ref="C70:F70"/>
    <mergeCell ref="G70:J70"/>
    <mergeCell ref="K70:N70"/>
    <mergeCell ref="O70:Q70"/>
    <mergeCell ref="R70:S70"/>
    <mergeCell ref="T70:U70"/>
    <mergeCell ref="T82:U82"/>
    <mergeCell ref="V82:W82"/>
    <mergeCell ref="V81:W81"/>
    <mergeCell ref="X81:Y81"/>
    <mergeCell ref="G82:J82"/>
    <mergeCell ref="K82:N82"/>
    <mergeCell ref="O82:Q82"/>
    <mergeCell ref="R82:S82"/>
    <mergeCell ref="X82:Y82"/>
    <mergeCell ref="G80:J80"/>
    <mergeCell ref="K80:N80"/>
    <mergeCell ref="O80:Q80"/>
    <mergeCell ref="R80:S80"/>
    <mergeCell ref="T80:U80"/>
    <mergeCell ref="V80:W80"/>
    <mergeCell ref="X80:Y80"/>
    <mergeCell ref="C80:F80"/>
    <mergeCell ref="C81:F81"/>
    <mergeCell ref="G81:J81"/>
    <mergeCell ref="K81:N81"/>
    <mergeCell ref="O81:Q81"/>
    <mergeCell ref="R81:S81"/>
    <mergeCell ref="T81:U81"/>
    <mergeCell ref="V83:W83"/>
    <mergeCell ref="X83:Y83"/>
    <mergeCell ref="C82:F82"/>
    <mergeCell ref="C83:F83"/>
    <mergeCell ref="G83:J83"/>
    <mergeCell ref="K83:N83"/>
    <mergeCell ref="O83:Q83"/>
    <mergeCell ref="R83:S83"/>
    <mergeCell ref="T83:U83"/>
    <mergeCell ref="G84:J84"/>
    <mergeCell ref="K84:N84"/>
    <mergeCell ref="O84:Q84"/>
    <mergeCell ref="R84:S84"/>
    <mergeCell ref="T84:U84"/>
    <mergeCell ref="V84:W84"/>
    <mergeCell ref="X84:Y84"/>
    <mergeCell ref="C84:F84"/>
    <mergeCell ref="C85:F85"/>
    <mergeCell ref="G85:J85"/>
    <mergeCell ref="K85:N85"/>
    <mergeCell ref="O85:Q85"/>
    <mergeCell ref="R85:S85"/>
    <mergeCell ref="T85:U85"/>
    <mergeCell ref="T86:U86"/>
    <mergeCell ref="V86:W86"/>
    <mergeCell ref="V85:W85"/>
    <mergeCell ref="X85:Y85"/>
    <mergeCell ref="G86:J86"/>
    <mergeCell ref="K86:N86"/>
    <mergeCell ref="O86:Q86"/>
    <mergeCell ref="R86:S86"/>
    <mergeCell ref="X86:Y86"/>
    <mergeCell ref="G96:J96"/>
    <mergeCell ref="K96:N96"/>
    <mergeCell ref="O96:Q96"/>
    <mergeCell ref="R96:S96"/>
    <mergeCell ref="T96:U96"/>
    <mergeCell ref="V96:W96"/>
    <mergeCell ref="X96:Y96"/>
    <mergeCell ref="C96:F96"/>
    <mergeCell ref="C97:F97"/>
    <mergeCell ref="G97:J97"/>
    <mergeCell ref="K97:N97"/>
    <mergeCell ref="O97:Q97"/>
    <mergeCell ref="R97:S97"/>
    <mergeCell ref="T97:U97"/>
    <mergeCell ref="G98:J98"/>
    <mergeCell ref="K98:N98"/>
    <mergeCell ref="O98:Q98"/>
    <mergeCell ref="R98:S98"/>
    <mergeCell ref="T98:U98"/>
    <mergeCell ref="V98:W98"/>
    <mergeCell ref="X98:Y98"/>
    <mergeCell ref="C98:F98"/>
    <mergeCell ref="C99:F99"/>
    <mergeCell ref="G99:J99"/>
    <mergeCell ref="K99:N99"/>
    <mergeCell ref="O99:Q99"/>
    <mergeCell ref="R99:S99"/>
    <mergeCell ref="T99:U99"/>
    <mergeCell ref="T100:U100"/>
    <mergeCell ref="V100:W100"/>
    <mergeCell ref="V99:W99"/>
    <mergeCell ref="X99:Y99"/>
    <mergeCell ref="G100:J100"/>
    <mergeCell ref="K100:N100"/>
    <mergeCell ref="O100:Q100"/>
    <mergeCell ref="R100:S100"/>
    <mergeCell ref="X100:Y100"/>
    <mergeCell ref="G136:J136"/>
    <mergeCell ref="K136:N136"/>
    <mergeCell ref="O136:Q136"/>
    <mergeCell ref="R136:S136"/>
    <mergeCell ref="T136:U136"/>
    <mergeCell ref="V136:W136"/>
    <mergeCell ref="X136:Y136"/>
    <mergeCell ref="C136:F136"/>
    <mergeCell ref="C137:F137"/>
    <mergeCell ref="G137:J137"/>
    <mergeCell ref="K137:N137"/>
    <mergeCell ref="O137:Q137"/>
    <mergeCell ref="R137:S137"/>
    <mergeCell ref="T137:U137"/>
    <mergeCell ref="V139:W139"/>
    <mergeCell ref="X139:Y139"/>
    <mergeCell ref="C138:F138"/>
    <mergeCell ref="C139:F139"/>
    <mergeCell ref="G139:J139"/>
    <mergeCell ref="K139:N139"/>
    <mergeCell ref="O139:Q139"/>
    <mergeCell ref="R139:S139"/>
    <mergeCell ref="T139:U139"/>
    <mergeCell ref="G140:J140"/>
    <mergeCell ref="K140:N140"/>
    <mergeCell ref="O140:Q140"/>
    <mergeCell ref="R140:S140"/>
    <mergeCell ref="T140:U140"/>
    <mergeCell ref="V140:W140"/>
    <mergeCell ref="X140:Y140"/>
    <mergeCell ref="C140:F140"/>
    <mergeCell ref="C141:F141"/>
    <mergeCell ref="G141:J141"/>
    <mergeCell ref="K141:N141"/>
    <mergeCell ref="O141:Q141"/>
    <mergeCell ref="R141:S141"/>
    <mergeCell ref="T141:U141"/>
    <mergeCell ref="T142:U142"/>
    <mergeCell ref="V142:W142"/>
    <mergeCell ref="V141:W141"/>
    <mergeCell ref="X141:Y141"/>
    <mergeCell ref="G142:J142"/>
    <mergeCell ref="K142:N142"/>
    <mergeCell ref="O142:Q142"/>
    <mergeCell ref="R142:S142"/>
    <mergeCell ref="X142:Y142"/>
    <mergeCell ref="G152:J152"/>
    <mergeCell ref="K152:N152"/>
    <mergeCell ref="O152:Q152"/>
    <mergeCell ref="R152:S152"/>
    <mergeCell ref="T152:U152"/>
    <mergeCell ref="V152:W152"/>
    <mergeCell ref="X152:Y152"/>
    <mergeCell ref="C152:F152"/>
    <mergeCell ref="C153:F153"/>
    <mergeCell ref="G153:J153"/>
    <mergeCell ref="K153:N153"/>
    <mergeCell ref="O153:Q153"/>
    <mergeCell ref="R153:S153"/>
    <mergeCell ref="T153:U153"/>
    <mergeCell ref="G154:J154"/>
    <mergeCell ref="K154:N154"/>
    <mergeCell ref="O154:Q154"/>
    <mergeCell ref="R154:S154"/>
    <mergeCell ref="T154:U154"/>
    <mergeCell ref="V154:W154"/>
    <mergeCell ref="X154:Y154"/>
    <mergeCell ref="C154:F154"/>
    <mergeCell ref="C155:F155"/>
    <mergeCell ref="G155:J155"/>
    <mergeCell ref="K155:N155"/>
    <mergeCell ref="O155:Q155"/>
    <mergeCell ref="R155:S155"/>
    <mergeCell ref="T155:U155"/>
    <mergeCell ref="T156:U156"/>
    <mergeCell ref="V156:W156"/>
    <mergeCell ref="V155:W155"/>
    <mergeCell ref="X155:Y155"/>
    <mergeCell ref="G156:J156"/>
    <mergeCell ref="K156:N156"/>
    <mergeCell ref="O156:Q156"/>
    <mergeCell ref="R156:S156"/>
    <mergeCell ref="X156:Y156"/>
    <mergeCell ref="O275:Q275"/>
    <mergeCell ref="R275:S275"/>
    <mergeCell ref="C268:F268"/>
    <mergeCell ref="C274:F274"/>
    <mergeCell ref="G274:J274"/>
    <mergeCell ref="K274:W274"/>
    <mergeCell ref="C275:F275"/>
    <mergeCell ref="G275:J275"/>
    <mergeCell ref="K275:N275"/>
    <mergeCell ref="G276:J276"/>
    <mergeCell ref="K276:N276"/>
    <mergeCell ref="O276:Q276"/>
    <mergeCell ref="R276:S276"/>
    <mergeCell ref="T276:U276"/>
    <mergeCell ref="V276:W276"/>
    <mergeCell ref="X276:Y276"/>
    <mergeCell ref="V277:W277"/>
    <mergeCell ref="X277:Y277"/>
    <mergeCell ref="C276:F276"/>
    <mergeCell ref="C277:F277"/>
    <mergeCell ref="G277:J277"/>
    <mergeCell ref="K277:N277"/>
    <mergeCell ref="O277:Q277"/>
    <mergeCell ref="R277:S277"/>
    <mergeCell ref="T277:U277"/>
    <mergeCell ref="V279:W279"/>
    <mergeCell ref="X279:Y279"/>
    <mergeCell ref="T289:U289"/>
    <mergeCell ref="V289:W289"/>
    <mergeCell ref="X289:Y289"/>
    <mergeCell ref="O289:Q289"/>
    <mergeCell ref="R289:S289"/>
    <mergeCell ref="C282:F282"/>
    <mergeCell ref="C288:F288"/>
    <mergeCell ref="G288:J288"/>
    <mergeCell ref="K288:W288"/>
    <mergeCell ref="C289:F289"/>
    <mergeCell ref="G289:J289"/>
    <mergeCell ref="K289:N289"/>
    <mergeCell ref="G290:J290"/>
    <mergeCell ref="K290:N290"/>
    <mergeCell ref="O290:Q290"/>
    <mergeCell ref="R290:S290"/>
    <mergeCell ref="T290:U290"/>
    <mergeCell ref="V290:W290"/>
    <mergeCell ref="X290:Y290"/>
    <mergeCell ref="V291:W291"/>
    <mergeCell ref="X291:Y291"/>
    <mergeCell ref="C290:F290"/>
    <mergeCell ref="C291:F291"/>
    <mergeCell ref="G291:J291"/>
    <mergeCell ref="K291:N291"/>
    <mergeCell ref="O291:Q291"/>
    <mergeCell ref="R291:S291"/>
    <mergeCell ref="T291:U291"/>
    <mergeCell ref="V293:W293"/>
    <mergeCell ref="X293:Y293"/>
    <mergeCell ref="V295:W295"/>
    <mergeCell ref="X295:Y295"/>
    <mergeCell ref="G238:J238"/>
    <mergeCell ref="K238:N238"/>
    <mergeCell ref="O238:Q238"/>
    <mergeCell ref="R238:S238"/>
    <mergeCell ref="T238:U238"/>
    <mergeCell ref="V238:W238"/>
    <mergeCell ref="X238:Y238"/>
    <mergeCell ref="C240:F240"/>
    <mergeCell ref="G240:J240"/>
    <mergeCell ref="K240:N240"/>
    <mergeCell ref="O240:Q240"/>
    <mergeCell ref="R240:S240"/>
    <mergeCell ref="T240:U240"/>
    <mergeCell ref="V240:W240"/>
    <mergeCell ref="X240:Y240"/>
    <mergeCell ref="C238:F238"/>
    <mergeCell ref="C239:F239"/>
    <mergeCell ref="G239:J239"/>
    <mergeCell ref="K239:N239"/>
    <mergeCell ref="O239:Q239"/>
    <mergeCell ref="R239:S239"/>
    <mergeCell ref="T239:U239"/>
    <mergeCell ref="R247:S247"/>
    <mergeCell ref="T247:U247"/>
    <mergeCell ref="V247:W247"/>
    <mergeCell ref="X247:Y247"/>
    <mergeCell ref="C246:F246"/>
    <mergeCell ref="G246:J246"/>
    <mergeCell ref="K246:W246"/>
    <mergeCell ref="C247:F247"/>
    <mergeCell ref="G247:J247"/>
    <mergeCell ref="K247:N247"/>
    <mergeCell ref="O247:Q247"/>
    <mergeCell ref="T261:U261"/>
    <mergeCell ref="V261:W261"/>
    <mergeCell ref="X261:Y261"/>
    <mergeCell ref="O261:Q261"/>
    <mergeCell ref="R261:S261"/>
    <mergeCell ref="C254:F254"/>
    <mergeCell ref="C260:F260"/>
    <mergeCell ref="G260:J260"/>
    <mergeCell ref="K260:W260"/>
    <mergeCell ref="C261:F261"/>
    <mergeCell ref="G261:J261"/>
    <mergeCell ref="K261:N261"/>
    <mergeCell ref="G262:J262"/>
    <mergeCell ref="K262:N262"/>
    <mergeCell ref="O262:Q262"/>
    <mergeCell ref="R262:S262"/>
    <mergeCell ref="T262:U262"/>
    <mergeCell ref="V262:W262"/>
    <mergeCell ref="X262:Y262"/>
    <mergeCell ref="V263:W263"/>
    <mergeCell ref="X263:Y263"/>
    <mergeCell ref="C262:F262"/>
    <mergeCell ref="C263:F263"/>
    <mergeCell ref="G263:J263"/>
    <mergeCell ref="K263:N263"/>
    <mergeCell ref="O263:Q263"/>
    <mergeCell ref="R263:S263"/>
    <mergeCell ref="T263:U263"/>
    <mergeCell ref="V265:W265"/>
    <mergeCell ref="X265:Y265"/>
    <mergeCell ref="T275:U275"/>
    <mergeCell ref="V275:W275"/>
    <mergeCell ref="X275:Y275"/>
    <mergeCell ref="G278:J278"/>
    <mergeCell ref="K278:N278"/>
    <mergeCell ref="O278:Q278"/>
    <mergeCell ref="R278:S278"/>
    <mergeCell ref="T278:U278"/>
    <mergeCell ref="V278:W278"/>
    <mergeCell ref="X278:Y278"/>
    <mergeCell ref="C278:F278"/>
    <mergeCell ref="C279:F279"/>
    <mergeCell ref="G279:J279"/>
    <mergeCell ref="K279:N279"/>
    <mergeCell ref="O279:Q279"/>
    <mergeCell ref="R279:S279"/>
    <mergeCell ref="T279:U279"/>
    <mergeCell ref="G280:J280"/>
    <mergeCell ref="K280:N280"/>
    <mergeCell ref="O280:Q280"/>
    <mergeCell ref="R280:S280"/>
    <mergeCell ref="T280:U280"/>
    <mergeCell ref="V280:W280"/>
    <mergeCell ref="X280:Y280"/>
    <mergeCell ref="C280:F280"/>
    <mergeCell ref="C281:F281"/>
    <mergeCell ref="G281:J281"/>
    <mergeCell ref="K281:N281"/>
    <mergeCell ref="O281:Q281"/>
    <mergeCell ref="R281:S281"/>
    <mergeCell ref="T281:U281"/>
    <mergeCell ref="T282:U282"/>
    <mergeCell ref="V282:W282"/>
    <mergeCell ref="V281:W281"/>
    <mergeCell ref="X281:Y281"/>
    <mergeCell ref="G282:J282"/>
    <mergeCell ref="K282:N282"/>
    <mergeCell ref="O282:Q282"/>
    <mergeCell ref="R282:S282"/>
    <mergeCell ref="X282:Y282"/>
    <mergeCell ref="G292:J292"/>
    <mergeCell ref="K292:N292"/>
    <mergeCell ref="O292:Q292"/>
    <mergeCell ref="R292:S292"/>
    <mergeCell ref="T292:U292"/>
    <mergeCell ref="V292:W292"/>
    <mergeCell ref="X292:Y292"/>
    <mergeCell ref="C292:F292"/>
    <mergeCell ref="C293:F293"/>
    <mergeCell ref="G293:J293"/>
    <mergeCell ref="K293:N293"/>
    <mergeCell ref="O293:Q293"/>
    <mergeCell ref="R293:S293"/>
    <mergeCell ref="T293:U293"/>
    <mergeCell ref="T306:U306"/>
    <mergeCell ref="V306:W306"/>
    <mergeCell ref="V305:W305"/>
    <mergeCell ref="X305:Y305"/>
    <mergeCell ref="G306:J306"/>
    <mergeCell ref="K306:N306"/>
    <mergeCell ref="O306:Q306"/>
    <mergeCell ref="R306:S306"/>
    <mergeCell ref="X306:Y306"/>
    <mergeCell ref="O163:Q163"/>
    <mergeCell ref="R163:S163"/>
    <mergeCell ref="C156:F156"/>
    <mergeCell ref="C162:F162"/>
    <mergeCell ref="G162:J162"/>
    <mergeCell ref="K162:W162"/>
    <mergeCell ref="C163:F163"/>
    <mergeCell ref="G163:J163"/>
    <mergeCell ref="K163:N163"/>
    <mergeCell ref="G164:J164"/>
    <mergeCell ref="K164:N164"/>
    <mergeCell ref="O164:Q164"/>
    <mergeCell ref="R164:S164"/>
    <mergeCell ref="T164:U164"/>
    <mergeCell ref="V164:W164"/>
    <mergeCell ref="X164:Y164"/>
    <mergeCell ref="V165:W165"/>
    <mergeCell ref="X165:Y165"/>
    <mergeCell ref="C164:F164"/>
    <mergeCell ref="C165:F165"/>
    <mergeCell ref="G165:J165"/>
    <mergeCell ref="K165:N165"/>
    <mergeCell ref="O165:Q165"/>
    <mergeCell ref="R165:S165"/>
    <mergeCell ref="T165:U165"/>
    <mergeCell ref="V167:W167"/>
    <mergeCell ref="X167:Y167"/>
    <mergeCell ref="T177:U177"/>
    <mergeCell ref="V177:W177"/>
    <mergeCell ref="X177:Y177"/>
    <mergeCell ref="O177:Q177"/>
    <mergeCell ref="R177:S177"/>
    <mergeCell ref="C170:F170"/>
    <mergeCell ref="C176:F176"/>
    <mergeCell ref="G176:J176"/>
    <mergeCell ref="K176:W176"/>
    <mergeCell ref="C177:F177"/>
    <mergeCell ref="G177:J177"/>
    <mergeCell ref="K177:N177"/>
    <mergeCell ref="G178:J178"/>
    <mergeCell ref="K178:N178"/>
    <mergeCell ref="O178:Q178"/>
    <mergeCell ref="R178:S178"/>
    <mergeCell ref="T178:U178"/>
    <mergeCell ref="V178:W178"/>
    <mergeCell ref="X178:Y178"/>
    <mergeCell ref="V179:W179"/>
    <mergeCell ref="X179:Y179"/>
    <mergeCell ref="C178:F178"/>
    <mergeCell ref="C179:F179"/>
    <mergeCell ref="G179:J179"/>
    <mergeCell ref="K179:N179"/>
    <mergeCell ref="O179:Q179"/>
    <mergeCell ref="R179:S179"/>
    <mergeCell ref="T179:U179"/>
    <mergeCell ref="V181:W181"/>
    <mergeCell ref="X181:Y181"/>
    <mergeCell ref="V183:W183"/>
    <mergeCell ref="X183:Y183"/>
    <mergeCell ref="G126:J126"/>
    <mergeCell ref="K126:N126"/>
    <mergeCell ref="O126:Q126"/>
    <mergeCell ref="R126:S126"/>
    <mergeCell ref="T126:U126"/>
    <mergeCell ref="V126:W126"/>
    <mergeCell ref="X126:Y126"/>
    <mergeCell ref="C128:F128"/>
    <mergeCell ref="G128:J128"/>
    <mergeCell ref="K128:N128"/>
    <mergeCell ref="O128:Q128"/>
    <mergeCell ref="R128:S128"/>
    <mergeCell ref="T128:U128"/>
    <mergeCell ref="V128:W128"/>
    <mergeCell ref="X128:Y128"/>
    <mergeCell ref="C126:F126"/>
    <mergeCell ref="C127:F127"/>
    <mergeCell ref="G127:J127"/>
    <mergeCell ref="K127:N127"/>
    <mergeCell ref="O127:Q127"/>
    <mergeCell ref="R127:S127"/>
    <mergeCell ref="T127:U127"/>
    <mergeCell ref="R135:S135"/>
    <mergeCell ref="T135:U135"/>
    <mergeCell ref="V135:W135"/>
    <mergeCell ref="X135:Y135"/>
    <mergeCell ref="C134:F134"/>
    <mergeCell ref="G134:J134"/>
    <mergeCell ref="K134:W134"/>
    <mergeCell ref="C135:F135"/>
    <mergeCell ref="G135:J135"/>
    <mergeCell ref="K135:N135"/>
    <mergeCell ref="O135:Q135"/>
    <mergeCell ref="T149:U149"/>
    <mergeCell ref="V149:W149"/>
    <mergeCell ref="X149:Y149"/>
    <mergeCell ref="O149:Q149"/>
    <mergeCell ref="R149:S149"/>
    <mergeCell ref="C142:F142"/>
    <mergeCell ref="C148:F148"/>
    <mergeCell ref="G148:J148"/>
    <mergeCell ref="K148:W148"/>
    <mergeCell ref="C149:F149"/>
    <mergeCell ref="G149:J149"/>
    <mergeCell ref="K149:N149"/>
    <mergeCell ref="G150:J150"/>
    <mergeCell ref="K150:N150"/>
    <mergeCell ref="O150:Q150"/>
    <mergeCell ref="R150:S150"/>
    <mergeCell ref="T150:U150"/>
    <mergeCell ref="V150:W150"/>
    <mergeCell ref="X150:Y150"/>
    <mergeCell ref="V151:W151"/>
    <mergeCell ref="X151:Y151"/>
    <mergeCell ref="C150:F150"/>
    <mergeCell ref="C151:F151"/>
    <mergeCell ref="G151:J151"/>
    <mergeCell ref="K151:N151"/>
    <mergeCell ref="O151:Q151"/>
    <mergeCell ref="R151:S151"/>
    <mergeCell ref="T151:U151"/>
    <mergeCell ref="V153:W153"/>
    <mergeCell ref="X153:Y153"/>
    <mergeCell ref="T163:U163"/>
    <mergeCell ref="V163:W163"/>
    <mergeCell ref="X163:Y163"/>
    <mergeCell ref="G166:J166"/>
    <mergeCell ref="K166:N166"/>
    <mergeCell ref="O166:Q166"/>
    <mergeCell ref="R166:S166"/>
    <mergeCell ref="T166:U166"/>
    <mergeCell ref="V166:W166"/>
    <mergeCell ref="X166:Y166"/>
    <mergeCell ref="C166:F166"/>
    <mergeCell ref="C167:F167"/>
    <mergeCell ref="G167:J167"/>
    <mergeCell ref="K167:N167"/>
    <mergeCell ref="O167:Q167"/>
    <mergeCell ref="R167:S167"/>
    <mergeCell ref="T167:U167"/>
    <mergeCell ref="G168:J168"/>
    <mergeCell ref="K168:N168"/>
    <mergeCell ref="O168:Q168"/>
    <mergeCell ref="R168:S168"/>
    <mergeCell ref="T168:U168"/>
    <mergeCell ref="V168:W168"/>
    <mergeCell ref="X168:Y168"/>
    <mergeCell ref="C168:F168"/>
    <mergeCell ref="C169:F169"/>
    <mergeCell ref="G169:J169"/>
    <mergeCell ref="K169:N169"/>
    <mergeCell ref="O169:Q169"/>
    <mergeCell ref="R169:S169"/>
    <mergeCell ref="T169:U169"/>
    <mergeCell ref="T170:U170"/>
    <mergeCell ref="V170:W170"/>
    <mergeCell ref="V169:W169"/>
    <mergeCell ref="X169:Y169"/>
    <mergeCell ref="G170:J170"/>
    <mergeCell ref="K170:N170"/>
    <mergeCell ref="O170:Q170"/>
    <mergeCell ref="R170:S170"/>
    <mergeCell ref="X170:Y170"/>
    <mergeCell ref="G180:J180"/>
    <mergeCell ref="K180:N180"/>
    <mergeCell ref="O180:Q180"/>
    <mergeCell ref="R180:S180"/>
    <mergeCell ref="T180:U180"/>
    <mergeCell ref="V180:W180"/>
    <mergeCell ref="X180:Y180"/>
    <mergeCell ref="C180:F180"/>
    <mergeCell ref="C181:F181"/>
    <mergeCell ref="G181:J181"/>
    <mergeCell ref="K181:N181"/>
    <mergeCell ref="O181:Q181"/>
    <mergeCell ref="R181:S181"/>
    <mergeCell ref="T181:U181"/>
    <mergeCell ref="T194:U194"/>
    <mergeCell ref="V194:W194"/>
    <mergeCell ref="V193:W193"/>
    <mergeCell ref="X193:Y193"/>
    <mergeCell ref="G194:J194"/>
    <mergeCell ref="K194:N194"/>
    <mergeCell ref="O194:Q194"/>
    <mergeCell ref="R194:S194"/>
    <mergeCell ref="X194:Y194"/>
    <mergeCell ref="G192:J192"/>
    <mergeCell ref="K192:N192"/>
    <mergeCell ref="O192:Q192"/>
    <mergeCell ref="R192:S192"/>
    <mergeCell ref="T192:U192"/>
    <mergeCell ref="V192:W192"/>
    <mergeCell ref="X192:Y192"/>
    <mergeCell ref="C192:F192"/>
    <mergeCell ref="C193:F193"/>
    <mergeCell ref="G193:J193"/>
    <mergeCell ref="K193:N193"/>
    <mergeCell ref="O193:Q193"/>
    <mergeCell ref="R193:S193"/>
    <mergeCell ref="T193:U193"/>
    <mergeCell ref="V195:W195"/>
    <mergeCell ref="X195:Y195"/>
    <mergeCell ref="C194:F194"/>
    <mergeCell ref="C195:F195"/>
    <mergeCell ref="G195:J195"/>
    <mergeCell ref="K195:N195"/>
    <mergeCell ref="O195:Q195"/>
    <mergeCell ref="R195:S195"/>
    <mergeCell ref="T195:U195"/>
    <mergeCell ref="G196:J196"/>
    <mergeCell ref="K196:N196"/>
    <mergeCell ref="O196:Q196"/>
    <mergeCell ref="R196:S196"/>
    <mergeCell ref="T196:U196"/>
    <mergeCell ref="V196:W196"/>
    <mergeCell ref="X196:Y196"/>
    <mergeCell ref="C196:F196"/>
    <mergeCell ref="C197:F197"/>
    <mergeCell ref="G197:J197"/>
    <mergeCell ref="K197:N197"/>
    <mergeCell ref="O197:Q197"/>
    <mergeCell ref="R197:S197"/>
    <mergeCell ref="T197:U197"/>
    <mergeCell ref="T198:U198"/>
    <mergeCell ref="V198:W198"/>
    <mergeCell ref="V197:W197"/>
    <mergeCell ref="X197:Y197"/>
    <mergeCell ref="G198:J198"/>
    <mergeCell ref="K198:N198"/>
    <mergeCell ref="O198:Q198"/>
    <mergeCell ref="R198:S198"/>
    <mergeCell ref="X198:Y198"/>
    <mergeCell ref="G208:J208"/>
    <mergeCell ref="K208:N208"/>
    <mergeCell ref="O208:Q208"/>
    <mergeCell ref="R208:S208"/>
    <mergeCell ref="T208:U208"/>
    <mergeCell ref="V208:W208"/>
    <mergeCell ref="X208:Y208"/>
    <mergeCell ref="C208:F208"/>
    <mergeCell ref="C209:F209"/>
    <mergeCell ref="G209:J209"/>
    <mergeCell ref="K209:N209"/>
    <mergeCell ref="O209:Q209"/>
    <mergeCell ref="R209:S209"/>
    <mergeCell ref="T209:U209"/>
    <mergeCell ref="G210:J210"/>
    <mergeCell ref="K210:N210"/>
    <mergeCell ref="O210:Q210"/>
    <mergeCell ref="R210:S210"/>
    <mergeCell ref="T210:U210"/>
    <mergeCell ref="V210:W210"/>
    <mergeCell ref="X210:Y210"/>
    <mergeCell ref="C210:F210"/>
    <mergeCell ref="C211:F211"/>
    <mergeCell ref="G211:J211"/>
    <mergeCell ref="K211:N211"/>
    <mergeCell ref="O211:Q211"/>
    <mergeCell ref="R211:S211"/>
    <mergeCell ref="T211:U211"/>
    <mergeCell ref="T212:U212"/>
    <mergeCell ref="V212:W212"/>
    <mergeCell ref="V211:W211"/>
    <mergeCell ref="X211:Y211"/>
    <mergeCell ref="G212:J212"/>
    <mergeCell ref="K212:N212"/>
    <mergeCell ref="O212:Q212"/>
    <mergeCell ref="R212:S212"/>
    <mergeCell ref="X212:Y212"/>
    <mergeCell ref="O219:Q219"/>
    <mergeCell ref="R219:S219"/>
    <mergeCell ref="C212:F212"/>
    <mergeCell ref="C218:F218"/>
    <mergeCell ref="G218:J218"/>
    <mergeCell ref="K218:W218"/>
    <mergeCell ref="C219:F219"/>
    <mergeCell ref="G219:J219"/>
    <mergeCell ref="K219:N219"/>
    <mergeCell ref="G220:J220"/>
    <mergeCell ref="K220:N220"/>
    <mergeCell ref="O220:Q220"/>
    <mergeCell ref="R220:S220"/>
    <mergeCell ref="T220:U220"/>
    <mergeCell ref="V220:W220"/>
    <mergeCell ref="X220:Y220"/>
    <mergeCell ref="V221:W221"/>
    <mergeCell ref="X221:Y221"/>
    <mergeCell ref="C220:F220"/>
    <mergeCell ref="C221:F221"/>
    <mergeCell ref="G221:J221"/>
    <mergeCell ref="K221:N221"/>
    <mergeCell ref="O221:Q221"/>
    <mergeCell ref="R221:S221"/>
    <mergeCell ref="T221:U221"/>
    <mergeCell ref="V223:W223"/>
    <mergeCell ref="X223:Y223"/>
    <mergeCell ref="T233:U233"/>
    <mergeCell ref="V233:W233"/>
    <mergeCell ref="X233:Y233"/>
    <mergeCell ref="O233:Q233"/>
    <mergeCell ref="R233:S233"/>
    <mergeCell ref="C226:F226"/>
    <mergeCell ref="C232:F232"/>
    <mergeCell ref="G232:J232"/>
    <mergeCell ref="K232:W232"/>
    <mergeCell ref="C233:F233"/>
    <mergeCell ref="G233:J233"/>
    <mergeCell ref="K233:N233"/>
    <mergeCell ref="G234:J234"/>
    <mergeCell ref="K234:N234"/>
    <mergeCell ref="O234:Q234"/>
    <mergeCell ref="R234:S234"/>
    <mergeCell ref="T234:U234"/>
    <mergeCell ref="V234:W234"/>
    <mergeCell ref="X234:Y234"/>
    <mergeCell ref="V235:W235"/>
    <mergeCell ref="X235:Y235"/>
    <mergeCell ref="C234:F234"/>
    <mergeCell ref="C235:F235"/>
    <mergeCell ref="G235:J235"/>
    <mergeCell ref="K235:N235"/>
    <mergeCell ref="O235:Q235"/>
    <mergeCell ref="R235:S235"/>
    <mergeCell ref="T235:U235"/>
    <mergeCell ref="V237:W237"/>
    <mergeCell ref="X237:Y237"/>
    <mergeCell ref="V239:W239"/>
    <mergeCell ref="X239:Y239"/>
    <mergeCell ref="G182:J182"/>
    <mergeCell ref="K182:N182"/>
    <mergeCell ref="O182:Q182"/>
    <mergeCell ref="R182:S182"/>
    <mergeCell ref="T182:U182"/>
    <mergeCell ref="V182:W182"/>
    <mergeCell ref="X182:Y182"/>
    <mergeCell ref="C184:F184"/>
    <mergeCell ref="G184:J184"/>
    <mergeCell ref="K184:N184"/>
    <mergeCell ref="O184:Q184"/>
    <mergeCell ref="R184:S184"/>
    <mergeCell ref="T184:U184"/>
    <mergeCell ref="V184:W184"/>
    <mergeCell ref="X184:Y184"/>
    <mergeCell ref="C182:F182"/>
    <mergeCell ref="C183:F183"/>
    <mergeCell ref="G183:J183"/>
    <mergeCell ref="K183:N183"/>
    <mergeCell ref="O183:Q183"/>
    <mergeCell ref="R183:S183"/>
    <mergeCell ref="T183:U183"/>
    <mergeCell ref="R191:S191"/>
    <mergeCell ref="T191:U191"/>
    <mergeCell ref="V191:W191"/>
    <mergeCell ref="X191:Y191"/>
    <mergeCell ref="C190:F190"/>
    <mergeCell ref="G190:J190"/>
    <mergeCell ref="K190:W190"/>
    <mergeCell ref="C191:F191"/>
    <mergeCell ref="G191:J191"/>
    <mergeCell ref="K191:N191"/>
    <mergeCell ref="O191:Q191"/>
    <mergeCell ref="T205:U205"/>
    <mergeCell ref="V205:W205"/>
    <mergeCell ref="X205:Y205"/>
    <mergeCell ref="O205:Q205"/>
    <mergeCell ref="R205:S205"/>
    <mergeCell ref="C198:F198"/>
    <mergeCell ref="C204:F204"/>
    <mergeCell ref="G204:J204"/>
    <mergeCell ref="K204:W204"/>
    <mergeCell ref="C205:F205"/>
    <mergeCell ref="G205:J205"/>
    <mergeCell ref="K205:N205"/>
    <mergeCell ref="G206:J206"/>
    <mergeCell ref="K206:N206"/>
    <mergeCell ref="O206:Q206"/>
    <mergeCell ref="R206:S206"/>
    <mergeCell ref="T206:U206"/>
    <mergeCell ref="V206:W206"/>
    <mergeCell ref="X206:Y206"/>
    <mergeCell ref="V207:W207"/>
    <mergeCell ref="X207:Y207"/>
    <mergeCell ref="C206:F206"/>
    <mergeCell ref="C207:F207"/>
    <mergeCell ref="G207:J207"/>
    <mergeCell ref="K207:N207"/>
    <mergeCell ref="O207:Q207"/>
    <mergeCell ref="R207:S207"/>
    <mergeCell ref="T207:U207"/>
    <mergeCell ref="V209:W209"/>
    <mergeCell ref="X209:Y209"/>
    <mergeCell ref="T219:U219"/>
    <mergeCell ref="V219:W219"/>
    <mergeCell ref="X219:Y219"/>
    <mergeCell ref="G222:J222"/>
    <mergeCell ref="K222:N222"/>
    <mergeCell ref="O222:Q222"/>
    <mergeCell ref="R222:S222"/>
    <mergeCell ref="T222:U222"/>
    <mergeCell ref="V222:W222"/>
    <mergeCell ref="X222:Y222"/>
    <mergeCell ref="C222:F222"/>
    <mergeCell ref="C223:F223"/>
    <mergeCell ref="G223:J223"/>
    <mergeCell ref="K223:N223"/>
    <mergeCell ref="O223:Q223"/>
    <mergeCell ref="R223:S223"/>
    <mergeCell ref="T223:U223"/>
    <mergeCell ref="G224:J224"/>
    <mergeCell ref="K224:N224"/>
    <mergeCell ref="O224:Q224"/>
    <mergeCell ref="R224:S224"/>
    <mergeCell ref="T224:U224"/>
    <mergeCell ref="V224:W224"/>
    <mergeCell ref="X224:Y224"/>
    <mergeCell ref="C224:F224"/>
    <mergeCell ref="C225:F225"/>
    <mergeCell ref="G225:J225"/>
    <mergeCell ref="K225:N225"/>
    <mergeCell ref="O225:Q225"/>
    <mergeCell ref="R225:S225"/>
    <mergeCell ref="T225:U225"/>
    <mergeCell ref="T226:U226"/>
    <mergeCell ref="V226:W226"/>
    <mergeCell ref="V225:W225"/>
    <mergeCell ref="X225:Y225"/>
    <mergeCell ref="G226:J226"/>
    <mergeCell ref="K226:N226"/>
    <mergeCell ref="O226:Q226"/>
    <mergeCell ref="R226:S226"/>
    <mergeCell ref="X226:Y226"/>
    <mergeCell ref="G236:J236"/>
    <mergeCell ref="K236:N236"/>
    <mergeCell ref="O236:Q236"/>
    <mergeCell ref="R236:S236"/>
    <mergeCell ref="T236:U236"/>
    <mergeCell ref="V236:W236"/>
    <mergeCell ref="X236:Y236"/>
    <mergeCell ref="C236:F236"/>
    <mergeCell ref="C237:F237"/>
    <mergeCell ref="G237:J237"/>
    <mergeCell ref="K237:N237"/>
    <mergeCell ref="O237:Q237"/>
    <mergeCell ref="R237:S237"/>
    <mergeCell ref="T237:U237"/>
    <mergeCell ref="T250:U250"/>
    <mergeCell ref="V250:W250"/>
    <mergeCell ref="V249:W249"/>
    <mergeCell ref="X249:Y249"/>
    <mergeCell ref="G250:J250"/>
    <mergeCell ref="K250:N250"/>
    <mergeCell ref="O250:Q250"/>
    <mergeCell ref="R250:S250"/>
    <mergeCell ref="X250:Y250"/>
    <mergeCell ref="G248:J248"/>
    <mergeCell ref="K248:N248"/>
    <mergeCell ref="O248:Q248"/>
    <mergeCell ref="R248:S248"/>
    <mergeCell ref="T248:U248"/>
    <mergeCell ref="V248:W248"/>
    <mergeCell ref="X248:Y248"/>
    <mergeCell ref="C248:F248"/>
    <mergeCell ref="C249:F249"/>
    <mergeCell ref="G249:J249"/>
    <mergeCell ref="K249:N249"/>
    <mergeCell ref="O249:Q249"/>
    <mergeCell ref="R249:S249"/>
    <mergeCell ref="T249:U249"/>
    <mergeCell ref="V251:W251"/>
    <mergeCell ref="X251:Y251"/>
    <mergeCell ref="C250:F250"/>
    <mergeCell ref="C251:F251"/>
    <mergeCell ref="G251:J251"/>
    <mergeCell ref="K251:N251"/>
    <mergeCell ref="O251:Q251"/>
    <mergeCell ref="R251:S251"/>
    <mergeCell ref="T251:U251"/>
    <mergeCell ref="G252:J252"/>
    <mergeCell ref="K252:N252"/>
    <mergeCell ref="O252:Q252"/>
    <mergeCell ref="R252:S252"/>
    <mergeCell ref="T252:U252"/>
    <mergeCell ref="V252:W252"/>
    <mergeCell ref="X252:Y252"/>
    <mergeCell ref="C252:F252"/>
    <mergeCell ref="C253:F253"/>
    <mergeCell ref="G253:J253"/>
    <mergeCell ref="K253:N253"/>
    <mergeCell ref="O253:Q253"/>
    <mergeCell ref="R253:S253"/>
    <mergeCell ref="T253:U253"/>
    <mergeCell ref="T254:U254"/>
    <mergeCell ref="V254:W254"/>
    <mergeCell ref="V253:W253"/>
    <mergeCell ref="X253:Y253"/>
    <mergeCell ref="G254:J254"/>
    <mergeCell ref="K254:N254"/>
    <mergeCell ref="O254:Q254"/>
    <mergeCell ref="R254:S254"/>
    <mergeCell ref="X254:Y254"/>
    <mergeCell ref="G264:J264"/>
    <mergeCell ref="K264:N264"/>
    <mergeCell ref="O264:Q264"/>
    <mergeCell ref="R264:S264"/>
    <mergeCell ref="T264:U264"/>
    <mergeCell ref="V264:W264"/>
    <mergeCell ref="X264:Y264"/>
    <mergeCell ref="C264:F264"/>
    <mergeCell ref="C265:F265"/>
    <mergeCell ref="G265:J265"/>
    <mergeCell ref="K265:N265"/>
    <mergeCell ref="O265:Q265"/>
    <mergeCell ref="R265:S265"/>
    <mergeCell ref="T265:U265"/>
    <mergeCell ref="G266:J266"/>
    <mergeCell ref="K266:N266"/>
    <mergeCell ref="O266:Q266"/>
    <mergeCell ref="R266:S266"/>
    <mergeCell ref="T266:U266"/>
    <mergeCell ref="V266:W266"/>
    <mergeCell ref="X266:Y266"/>
    <mergeCell ref="C266:F266"/>
    <mergeCell ref="C267:F267"/>
    <mergeCell ref="G267:J267"/>
    <mergeCell ref="K267:N267"/>
    <mergeCell ref="O267:Q267"/>
    <mergeCell ref="R267:S267"/>
    <mergeCell ref="T267:U267"/>
    <mergeCell ref="T268:U268"/>
    <mergeCell ref="V268:W268"/>
    <mergeCell ref="V267:W267"/>
    <mergeCell ref="X267:Y267"/>
    <mergeCell ref="G268:J268"/>
    <mergeCell ref="K268:N268"/>
    <mergeCell ref="O268:Q268"/>
    <mergeCell ref="R268:S268"/>
    <mergeCell ref="X268:Y268"/>
    <mergeCell ref="G304:J304"/>
    <mergeCell ref="K304:N304"/>
    <mergeCell ref="O304:Q304"/>
    <mergeCell ref="R304:S304"/>
    <mergeCell ref="T304:U304"/>
    <mergeCell ref="V304:W304"/>
    <mergeCell ref="X304:Y304"/>
    <mergeCell ref="C304:F304"/>
    <mergeCell ref="C305:F305"/>
    <mergeCell ref="G305:J305"/>
    <mergeCell ref="K305:N305"/>
    <mergeCell ref="O305:Q305"/>
    <mergeCell ref="R305:S305"/>
    <mergeCell ref="T305:U305"/>
    <mergeCell ref="V307:W307"/>
    <mergeCell ref="X307:Y307"/>
    <mergeCell ref="C306:F306"/>
    <mergeCell ref="C307:F307"/>
    <mergeCell ref="G307:J307"/>
    <mergeCell ref="K307:N307"/>
    <mergeCell ref="O307:Q307"/>
    <mergeCell ref="R307:S307"/>
    <mergeCell ref="T307:U307"/>
    <mergeCell ref="G308:J308"/>
    <mergeCell ref="K308:N308"/>
    <mergeCell ref="O308:Q308"/>
    <mergeCell ref="R308:S308"/>
    <mergeCell ref="T308:U308"/>
    <mergeCell ref="V308:W308"/>
    <mergeCell ref="X308:Y308"/>
    <mergeCell ref="C308:F308"/>
    <mergeCell ref="C309:F309"/>
    <mergeCell ref="G309:J309"/>
    <mergeCell ref="K309:N309"/>
    <mergeCell ref="O309:Q309"/>
    <mergeCell ref="R309:S309"/>
    <mergeCell ref="T309:U309"/>
    <mergeCell ref="T310:U310"/>
    <mergeCell ref="V310:W310"/>
    <mergeCell ref="V309:W309"/>
    <mergeCell ref="X309:Y309"/>
    <mergeCell ref="G310:J310"/>
    <mergeCell ref="K310:N310"/>
    <mergeCell ref="O310:Q310"/>
    <mergeCell ref="R310:S310"/>
    <mergeCell ref="X310:Y310"/>
    <mergeCell ref="O317:Q317"/>
    <mergeCell ref="R317:S317"/>
    <mergeCell ref="C310:F310"/>
    <mergeCell ref="C316:F316"/>
    <mergeCell ref="G316:J316"/>
    <mergeCell ref="K316:W316"/>
    <mergeCell ref="C317:F317"/>
    <mergeCell ref="G317:J317"/>
    <mergeCell ref="K317:N317"/>
    <mergeCell ref="G318:J318"/>
    <mergeCell ref="K318:N318"/>
    <mergeCell ref="O318:Q318"/>
    <mergeCell ref="R318:S318"/>
    <mergeCell ref="T318:U318"/>
    <mergeCell ref="V318:W318"/>
    <mergeCell ref="X318:Y318"/>
    <mergeCell ref="V319:W319"/>
    <mergeCell ref="X319:Y319"/>
    <mergeCell ref="C318:F318"/>
    <mergeCell ref="C319:F319"/>
    <mergeCell ref="G319:J319"/>
    <mergeCell ref="K319:N319"/>
    <mergeCell ref="O319:Q319"/>
    <mergeCell ref="R319:S319"/>
    <mergeCell ref="T319:U319"/>
    <mergeCell ref="G320:J320"/>
    <mergeCell ref="K320:N320"/>
    <mergeCell ref="O320:Q320"/>
    <mergeCell ref="R320:S320"/>
    <mergeCell ref="T320:U320"/>
    <mergeCell ref="V320:W320"/>
    <mergeCell ref="X320:Y320"/>
    <mergeCell ref="V321:W321"/>
    <mergeCell ref="X321:Y321"/>
    <mergeCell ref="C320:F320"/>
    <mergeCell ref="C321:F321"/>
    <mergeCell ref="G321:J321"/>
    <mergeCell ref="K321:N321"/>
    <mergeCell ref="O321:Q321"/>
    <mergeCell ref="R321:S321"/>
    <mergeCell ref="T321:U321"/>
    <mergeCell ref="A328:Y328"/>
    <mergeCell ref="G294:J294"/>
    <mergeCell ref="K294:N294"/>
    <mergeCell ref="O294:Q294"/>
    <mergeCell ref="R294:S294"/>
    <mergeCell ref="T294:U294"/>
    <mergeCell ref="V294:W294"/>
    <mergeCell ref="X294:Y294"/>
    <mergeCell ref="C296:F296"/>
    <mergeCell ref="G296:J296"/>
    <mergeCell ref="K296:N296"/>
    <mergeCell ref="O296:Q296"/>
    <mergeCell ref="R296:S296"/>
    <mergeCell ref="T296:U296"/>
    <mergeCell ref="V296:W296"/>
    <mergeCell ref="X296:Y296"/>
    <mergeCell ref="C294:F294"/>
    <mergeCell ref="C295:F295"/>
    <mergeCell ref="G295:J295"/>
    <mergeCell ref="K295:N295"/>
    <mergeCell ref="O295:Q295"/>
    <mergeCell ref="R295:S295"/>
    <mergeCell ref="T295:U295"/>
    <mergeCell ref="R303:S303"/>
    <mergeCell ref="T303:U303"/>
    <mergeCell ref="V303:W303"/>
    <mergeCell ref="X303:Y303"/>
    <mergeCell ref="C302:F302"/>
    <mergeCell ref="G302:J302"/>
    <mergeCell ref="K302:W302"/>
    <mergeCell ref="C303:F303"/>
    <mergeCell ref="G303:J303"/>
    <mergeCell ref="K303:N303"/>
    <mergeCell ref="O303:Q303"/>
    <mergeCell ref="T317:U317"/>
    <mergeCell ref="V317:W317"/>
    <mergeCell ref="X317:Y317"/>
  </mergeCells>
  <drawing r:id="rId1"/>
</worksheet>
</file>